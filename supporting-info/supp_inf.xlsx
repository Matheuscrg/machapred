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" sheetId="1" r:id="rId5"/>
    <sheet state="visible" name="S2" sheetId="2" r:id="rId6"/>
    <sheet state="visible" name="S3" sheetId="3" r:id="rId7"/>
  </sheets>
  <definedNames/>
  <calcPr/>
</workbook>
</file>

<file path=xl/sharedStrings.xml><?xml version="1.0" encoding="utf-8"?>
<sst xmlns="http://schemas.openxmlformats.org/spreadsheetml/2006/main" count="126" uniqueCount="48">
  <si>
    <t>Model name</t>
  </si>
  <si>
    <t>ROC</t>
  </si>
  <si>
    <t>F1</t>
  </si>
  <si>
    <t>Accuracy</t>
  </si>
  <si>
    <t>PRC</t>
  </si>
  <si>
    <t>Cutoff</t>
  </si>
  <si>
    <t>Patience</t>
  </si>
  <si>
    <t>Epoch limit</t>
  </si>
  <si>
    <t>T_cruzi_Organism</t>
  </si>
  <si>
    <t>1000 nM</t>
  </si>
  <si>
    <t>T_cruzi_Amastigote</t>
  </si>
  <si>
    <t>T_cruzi_Trypomastigote</t>
  </si>
  <si>
    <t>T_cruzi_Epimastigote</t>
  </si>
  <si>
    <t>10000 nM</t>
  </si>
  <si>
    <t>T_cruzi_Sterol_Demthylase</t>
  </si>
  <si>
    <t>T_cruzi_Cruzipain</t>
  </si>
  <si>
    <t xml:space="preserve">Blood_stage_Malaria </t>
  </si>
  <si>
    <t>Plasmodium_falciparum_ORG</t>
  </si>
  <si>
    <t>Plasmodium_berghei_ORG</t>
  </si>
  <si>
    <t>P_faciparum_CQ_resistant</t>
  </si>
  <si>
    <t>CHEMBL_ID</t>
  </si>
  <si>
    <t>Name of the target</t>
  </si>
  <si>
    <t>Derivative Model name</t>
  </si>
  <si>
    <t>Keyword on "Assay description"</t>
  </si>
  <si>
    <t>Keywords on  “Assay cell type"</t>
  </si>
  <si>
    <t>CHEMBL368</t>
  </si>
  <si>
    <t>T.cruzi - organism</t>
  </si>
  <si>
    <t>amastigote</t>
  </si>
  <si>
    <t>-</t>
  </si>
  <si>
    <t>trypomastigote</t>
  </si>
  <si>
    <t>epimastigote</t>
  </si>
  <si>
    <t>CHEMBL364</t>
  </si>
  <si>
    <t>P. falciparum - organism</t>
  </si>
  <si>
    <t>blood stage", "asexual blood stage", "blood-stage", "erythrocytes", "erythrocyte", "rbc", "red blood cell", "red blood cells", "infected in human erythrocytes", "infected in erythrocytes", "infected in rbc", "infected erythrocytes", "infected red blood cell"</t>
  </si>
  <si>
    <t>"erythrocyte", "rbc", "red blood cell", "red blood cells"</t>
  </si>
  <si>
    <t>Plasmodium_CQ_resistant</t>
  </si>
  <si>
    <r>
      <rPr>
        <rFont val="Arial"/>
        <b/>
        <color theme="1"/>
      </rPr>
      <t>Including:</t>
    </r>
    <r>
      <rPr>
        <rFont val="Arial"/>
        <color theme="1"/>
      </rPr>
      <t xml:space="preserve"> r'chloroquine[-\s]?resist|resist\w*\s+(?:to\s+)?chloroquine';</t>
    </r>
    <r>
      <rPr>
        <rFont val="Arial"/>
        <b/>
        <color theme="1"/>
      </rPr>
      <t>Excluding</t>
    </r>
    <r>
      <rPr>
        <rFont val="Arial"/>
        <color theme="1"/>
      </rPr>
      <t>:r'chloroquine[-\s]?susceptibl|susceptibl\w*\s+(?:to\s+)?chloroquine'</t>
    </r>
  </si>
  <si>
    <t xml:space="preserve">Blood_stage Malaria </t>
  </si>
  <si>
    <t>Replicate</t>
  </si>
  <si>
    <t>In the web-server</t>
  </si>
  <si>
    <t>Average</t>
  </si>
  <si>
    <t>Standard Deviation</t>
  </si>
  <si>
    <t>Cruzipain</t>
  </si>
  <si>
    <t>Sterol_Demethylase</t>
  </si>
  <si>
    <t>T-cruzi-org</t>
  </si>
  <si>
    <t>T-cruzi-Amastigota</t>
  </si>
  <si>
    <t>T-cruzi-Tripomastigota</t>
  </si>
  <si>
    <t>T-cruzi-epimastigota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</si>
</sst>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sz val="9.0"/>
      <color theme="1"/>
      <name val="Times New Roman"/>
    </font>
    <font>
      <b/>
      <sz val="9.0"/>
      <color theme="1"/>
      <name val="Times New Roman"/>
    </font>
    <font>
      <b/>
      <sz val="9.0"/>
      <color rgb="FF000000"/>
      <name val="Times New Roman"/>
    </font>
    <font>
      <sz val="9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vertical="bottom" wrapText="1"/>
    </xf>
    <xf borderId="3" fillId="0" fontId="6" numFmtId="0" xfId="0" applyBorder="1" applyFont="1"/>
    <xf borderId="4" fillId="0" fontId="6" numFmtId="0" xfId="0" applyBorder="1" applyFont="1"/>
    <xf borderId="1" fillId="2" fontId="1" numFmtId="0" xfId="0" applyAlignment="1" applyBorder="1" applyFill="1" applyFont="1">
      <alignment horizontal="left" readingOrder="0" shrinkToFit="0" wrapText="1"/>
    </xf>
    <xf borderId="1" fillId="0" fontId="1" numFmtId="0" xfId="0" applyAlignment="1" applyBorder="1" applyFont="1">
      <alignment shrinkToFit="0" wrapText="1"/>
    </xf>
    <xf borderId="0" fillId="0" fontId="7" numFmtId="164" xfId="0" applyFont="1" applyNumberFormat="1"/>
    <xf borderId="0" fillId="0" fontId="7" numFmtId="1" xfId="0" applyFont="1" applyNumberFormat="1"/>
    <xf borderId="2" fillId="0" fontId="8" numFmtId="164" xfId="0" applyAlignment="1" applyBorder="1" applyFont="1" applyNumberFormat="1">
      <alignment readingOrder="0" shrinkToFit="0" vertical="center" wrapText="1"/>
    </xf>
    <xf borderId="1" fillId="0" fontId="8" numFmtId="1" xfId="0" applyAlignment="1" applyBorder="1" applyFont="1" applyNumberFormat="1">
      <alignment horizontal="center" readingOrder="0"/>
    </xf>
    <xf borderId="1" fillId="0" fontId="8" numFmtId="164" xfId="0" applyAlignment="1" applyBorder="1" applyFont="1" applyNumberFormat="1">
      <alignment horizontal="center" readingOrder="0"/>
    </xf>
    <xf borderId="1" fillId="0" fontId="7" numFmtId="1" xfId="0" applyAlignment="1" applyBorder="1" applyFont="1" applyNumberFormat="1">
      <alignment readingOrder="0"/>
    </xf>
    <xf borderId="1" fillId="0" fontId="7" numFmtId="164" xfId="0" applyAlignment="1" applyBorder="1" applyFont="1" applyNumberFormat="1">
      <alignment horizontal="left" readingOrder="0"/>
    </xf>
    <xf borderId="0" fillId="3" fontId="7" numFmtId="164" xfId="0" applyFill="1" applyFont="1" applyNumberFormat="1"/>
    <xf borderId="0" fillId="0" fontId="7" numFmtId="164" xfId="0" applyAlignment="1" applyFont="1" applyNumberFormat="1">
      <alignment readingOrder="0"/>
    </xf>
    <xf borderId="1" fillId="3" fontId="9" numFmtId="1" xfId="0" applyAlignment="1" applyBorder="1" applyFont="1" applyNumberFormat="1">
      <alignment readingOrder="0"/>
    </xf>
    <xf borderId="1" fillId="3" fontId="9" numFmtId="164" xfId="0" applyAlignment="1" applyBorder="1" applyFont="1" applyNumberFormat="1">
      <alignment horizontal="left" readingOrder="0"/>
    </xf>
    <xf borderId="1" fillId="0" fontId="7" numFmtId="164" xfId="0" applyBorder="1" applyFont="1" applyNumberForma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right" readingOrder="0"/>
    </xf>
    <xf borderId="1" fillId="3" fontId="2" numFmtId="1" xfId="0" applyAlignment="1" applyBorder="1" applyFont="1" applyNumberFormat="1">
      <alignment horizontal="right" readingOrder="0"/>
    </xf>
    <xf borderId="1" fillId="3" fontId="2" numFmtId="164" xfId="0" applyAlignment="1" applyBorder="1" applyFont="1" applyNumberFormat="1">
      <alignment horizontal="right" readingOrder="0"/>
    </xf>
    <xf borderId="1" fillId="0" fontId="1" numFmtId="1" xfId="0" applyAlignment="1" applyBorder="1" applyFont="1" applyNumberFormat="1">
      <alignment horizontal="right" readingOrder="0"/>
    </xf>
    <xf borderId="0" fillId="0" fontId="7" numFmtId="1" xfId="0" applyAlignment="1" applyFont="1" applyNumberFormat="1">
      <alignment horizontal="right" readingOrder="0"/>
    </xf>
    <xf borderId="0" fillId="0" fontId="7" numFmtId="164" xfId="0" applyAlignment="1" applyFont="1" applyNumberFormat="1">
      <alignment horizontal="left" readingOrder="0"/>
    </xf>
    <xf borderId="0" fillId="3" fontId="8" numFmtId="1" xfId="0" applyAlignment="1" applyFont="1" applyNumberFormat="1">
      <alignment horizontal="right" readingOrder="0"/>
    </xf>
    <xf borderId="0" fillId="3" fontId="8" numFmtId="164" xfId="0" applyAlignment="1" applyFont="1" applyNumberFormat="1">
      <alignment horizontal="left" readingOrder="0"/>
    </xf>
    <xf borderId="1" fillId="0" fontId="7" numFmtId="1" xfId="0" applyAlignment="1" applyBorder="1" applyFont="1" applyNumberFormat="1">
      <alignment horizontal="right" readingOrder="0"/>
    </xf>
    <xf borderId="1" fillId="3" fontId="9" numFmtId="1" xfId="0" applyAlignment="1" applyBorder="1" applyFont="1" applyNumberFormat="1">
      <alignment horizontal="right" readingOrder="0"/>
    </xf>
    <xf borderId="1" fillId="0" fontId="8" numFmtId="1" xfId="0" applyAlignment="1" applyBorder="1" applyFont="1" applyNumberFormat="1">
      <alignment readingOrder="0"/>
    </xf>
    <xf borderId="1" fillId="3" fontId="10" numFmtId="1" xfId="0" applyAlignment="1" applyBorder="1" applyFont="1" applyNumberFormat="1">
      <alignment horizontal="right" readingOrder="0"/>
    </xf>
    <xf borderId="0" fillId="3" fontId="9" numFmtId="1" xfId="0" applyAlignment="1" applyFont="1" applyNumberFormat="1">
      <alignment horizontal="right" readingOrder="0"/>
    </xf>
    <xf borderId="0" fillId="3" fontId="9" numFmtId="164" xfId="0" applyAlignment="1" applyFont="1" applyNumberFormat="1">
      <alignment horizontal="left" readingOrder="0"/>
    </xf>
    <xf borderId="0" fillId="4" fontId="8" numFmtId="1" xfId="0" applyAlignment="1" applyFill="1" applyFont="1" applyNumberFormat="1">
      <alignment horizontal="right" readingOrder="0"/>
    </xf>
    <xf borderId="0" fillId="4" fontId="8" numFmtId="164" xfId="0" applyAlignment="1" applyFont="1" applyNumberFormat="1">
      <alignment horizontal="left" readingOrder="0"/>
    </xf>
    <xf borderId="0" fillId="0" fontId="7" numFmtId="1" xfId="0" applyAlignment="1" applyFont="1" applyNumberFormat="1">
      <alignment readingOrder="0"/>
    </xf>
    <xf borderId="0" fillId="3" fontId="8" numFmtId="1" xfId="0" applyAlignment="1" applyFont="1" applyNumberFormat="1">
      <alignment readingOrder="0"/>
    </xf>
    <xf borderId="0" fillId="3" fontId="8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0"/>
  </cols>
  <sheetData>
    <row r="1">
      <c r="A1" s="1"/>
      <c r="B1" s="2"/>
      <c r="C1" s="3"/>
      <c r="D1" s="3"/>
      <c r="E1" s="3"/>
      <c r="F1" s="3"/>
      <c r="G1" s="3"/>
    </row>
    <row r="2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  <c r="I2" s="5" t="s">
        <v>7</v>
      </c>
    </row>
    <row r="3">
      <c r="A3" s="1"/>
      <c r="B3" s="6" t="s">
        <v>8</v>
      </c>
      <c r="C3" s="6">
        <v>0.892687857151031</v>
      </c>
      <c r="D3" s="6">
        <v>0.784246563911438</v>
      </c>
      <c r="E3" s="6">
        <v>0.826923072338104</v>
      </c>
      <c r="F3" s="6">
        <v>0.857027053833007</v>
      </c>
      <c r="G3" s="6" t="s">
        <v>9</v>
      </c>
      <c r="H3" s="7">
        <v>20.0</v>
      </c>
      <c r="I3" s="7">
        <v>200.0</v>
      </c>
    </row>
    <row r="4">
      <c r="A4" s="1"/>
      <c r="B4" s="6" t="s">
        <v>10</v>
      </c>
      <c r="C4" s="6">
        <v>0.855403363704681</v>
      </c>
      <c r="D4" s="6">
        <v>0.614173233509063</v>
      </c>
      <c r="E4" s="6">
        <v>0.783185839653015</v>
      </c>
      <c r="F4" s="6">
        <v>0.742777943611145</v>
      </c>
      <c r="G4" s="6" t="s">
        <v>9</v>
      </c>
      <c r="H4" s="7">
        <v>20.0</v>
      </c>
      <c r="I4" s="7">
        <v>200.0</v>
      </c>
    </row>
    <row r="5">
      <c r="A5" s="1"/>
      <c r="B5" s="6" t="s">
        <v>11</v>
      </c>
      <c r="C5" s="6">
        <v>0.815354466438293</v>
      </c>
      <c r="D5" s="6">
        <v>0.448979586362838</v>
      </c>
      <c r="E5" s="6">
        <v>0.830188691616058</v>
      </c>
      <c r="F5" s="6">
        <v>0.685145497322082</v>
      </c>
      <c r="G5" s="6" t="s">
        <v>9</v>
      </c>
      <c r="H5" s="7">
        <v>100.0</v>
      </c>
      <c r="I5" s="7">
        <v>200.0</v>
      </c>
    </row>
    <row r="6">
      <c r="A6" s="1"/>
      <c r="B6" s="6" t="s">
        <v>12</v>
      </c>
      <c r="C6" s="6">
        <v>0.818146467208862</v>
      </c>
      <c r="D6" s="6">
        <v>0.711409389972687</v>
      </c>
      <c r="E6" s="6">
        <v>0.759776532649994</v>
      </c>
      <c r="F6" s="6">
        <v>0.71098405122757</v>
      </c>
      <c r="G6" s="6" t="s">
        <v>13</v>
      </c>
      <c r="H6" s="7">
        <v>100.0</v>
      </c>
      <c r="I6" s="7">
        <v>400.0</v>
      </c>
    </row>
    <row r="7">
      <c r="A7" s="1"/>
      <c r="B7" s="6" t="s">
        <v>14</v>
      </c>
      <c r="C7" s="6">
        <v>0.882154881954193</v>
      </c>
      <c r="D7" s="6">
        <v>0.777777791023254</v>
      </c>
      <c r="E7" s="6">
        <v>0.89473682641983</v>
      </c>
      <c r="F7" s="6">
        <v>0.851928770542144</v>
      </c>
      <c r="G7" s="6" t="s">
        <v>9</v>
      </c>
      <c r="H7" s="7">
        <v>20.0</v>
      </c>
      <c r="I7" s="7">
        <v>200.0</v>
      </c>
    </row>
    <row r="8">
      <c r="A8" s="1"/>
      <c r="B8" s="6" t="s">
        <v>15</v>
      </c>
      <c r="C8" s="6">
        <v>0.952380955219268</v>
      </c>
      <c r="D8" s="6">
        <v>0.899999976158142</v>
      </c>
      <c r="E8" s="6">
        <v>0.9200000166893</v>
      </c>
      <c r="F8" s="6">
        <v>0.953826665878295</v>
      </c>
      <c r="G8" s="6" t="s">
        <v>9</v>
      </c>
      <c r="H8" s="7">
        <v>20.0</v>
      </c>
      <c r="I8" s="7">
        <v>200.0</v>
      </c>
    </row>
    <row r="9">
      <c r="A9" s="1"/>
      <c r="B9" s="6" t="s">
        <v>16</v>
      </c>
      <c r="C9" s="8">
        <v>0.872159004211425</v>
      </c>
      <c r="D9" s="8">
        <v>0.825311958789825</v>
      </c>
      <c r="E9" s="8">
        <v>0.808031320571899</v>
      </c>
      <c r="F9" s="8">
        <v>0.864378690719604</v>
      </c>
      <c r="G9" s="6" t="s">
        <v>9</v>
      </c>
      <c r="H9" s="7">
        <v>20.0</v>
      </c>
      <c r="I9" s="7">
        <v>200.0</v>
      </c>
    </row>
    <row r="10">
      <c r="A10" s="1"/>
      <c r="B10" s="6" t="s">
        <v>17</v>
      </c>
      <c r="C10" s="6">
        <v>0.861225247383117</v>
      </c>
      <c r="D10" s="6">
        <v>0.822531402111053</v>
      </c>
      <c r="E10" s="6">
        <v>0.784773647785186</v>
      </c>
      <c r="F10" s="6">
        <v>0.896240174770355</v>
      </c>
      <c r="G10" s="6" t="s">
        <v>9</v>
      </c>
      <c r="H10" s="7">
        <v>20.0</v>
      </c>
      <c r="I10" s="7">
        <v>200.0</v>
      </c>
    </row>
    <row r="11">
      <c r="B11" s="6" t="s">
        <v>18</v>
      </c>
      <c r="C11" s="6">
        <v>0.800000011920929</v>
      </c>
      <c r="D11" s="6">
        <v>0.724137902259827</v>
      </c>
      <c r="E11" s="6">
        <v>0.74193549156189</v>
      </c>
      <c r="F11" s="6">
        <v>0.762063562870026</v>
      </c>
      <c r="G11" s="6" t="s">
        <v>9</v>
      </c>
      <c r="H11" s="7">
        <v>200.0</v>
      </c>
      <c r="I11" s="7">
        <v>100.0</v>
      </c>
    </row>
    <row r="12">
      <c r="B12" s="6" t="s">
        <v>19</v>
      </c>
      <c r="C12" s="6">
        <v>0.904</v>
      </c>
      <c r="D12" s="6">
        <v>0.864</v>
      </c>
      <c r="E12" s="6">
        <v>0.843</v>
      </c>
      <c r="F12" s="6">
        <v>0.933</v>
      </c>
      <c r="G12" s="6" t="s">
        <v>9</v>
      </c>
      <c r="H12" s="7">
        <v>20.0</v>
      </c>
      <c r="I12" s="7">
        <v>200.0</v>
      </c>
    </row>
    <row r="13">
      <c r="B13" s="9"/>
      <c r="C13" s="9"/>
      <c r="D13" s="9"/>
      <c r="E13" s="9"/>
      <c r="F13" s="9"/>
      <c r="G13" s="9"/>
    </row>
    <row r="14">
      <c r="B14" s="9"/>
      <c r="C14" s="9"/>
      <c r="D14" s="9"/>
      <c r="E14" s="9"/>
      <c r="F14" s="9"/>
      <c r="G14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  <col customWidth="1" min="5" max="5" width="46.88"/>
    <col customWidth="1" min="6" max="6" width="16.13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1" t="s">
        <v>20</v>
      </c>
      <c r="C2" s="11" t="s">
        <v>21</v>
      </c>
      <c r="D2" s="12" t="s">
        <v>22</v>
      </c>
      <c r="E2" s="13" t="s">
        <v>23</v>
      </c>
      <c r="F2" s="13" t="s">
        <v>24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4" t="s">
        <v>25</v>
      </c>
      <c r="C3" s="14" t="s">
        <v>26</v>
      </c>
      <c r="D3" s="15" t="s">
        <v>10</v>
      </c>
      <c r="E3" s="13" t="s">
        <v>27</v>
      </c>
      <c r="F3" s="13" t="s">
        <v>28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6"/>
      <c r="C4" s="16"/>
      <c r="D4" s="15" t="s">
        <v>11</v>
      </c>
      <c r="E4" s="13" t="s">
        <v>29</v>
      </c>
      <c r="F4" s="13" t="s">
        <v>28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7"/>
      <c r="C5" s="17"/>
      <c r="D5" s="15" t="s">
        <v>12</v>
      </c>
      <c r="E5" s="13" t="s">
        <v>30</v>
      </c>
      <c r="F5" s="13" t="s">
        <v>28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8" t="s">
        <v>31</v>
      </c>
      <c r="C6" s="18" t="s">
        <v>32</v>
      </c>
      <c r="D6" s="15" t="s">
        <v>16</v>
      </c>
      <c r="E6" s="13" t="s">
        <v>33</v>
      </c>
      <c r="F6" s="13" t="s">
        <v>34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8" t="s">
        <v>31</v>
      </c>
      <c r="C7" s="18" t="s">
        <v>32</v>
      </c>
      <c r="D7" s="6" t="s">
        <v>35</v>
      </c>
      <c r="E7" s="13" t="s">
        <v>36</v>
      </c>
      <c r="F7" s="1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">
    <mergeCell ref="B3:B5"/>
    <mergeCell ref="C3:C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21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2" t="s">
        <v>37</v>
      </c>
      <c r="B2" s="23" t="s">
        <v>38</v>
      </c>
      <c r="C2" s="24" t="s">
        <v>1</v>
      </c>
      <c r="D2" s="24" t="s">
        <v>2</v>
      </c>
      <c r="E2" s="24" t="s">
        <v>3</v>
      </c>
      <c r="F2" s="24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6"/>
      <c r="B3" s="25">
        <v>0.0</v>
      </c>
      <c r="C3" s="26">
        <v>0.831157982349395</v>
      </c>
      <c r="D3" s="26">
        <v>0.732519447803497</v>
      </c>
      <c r="E3" s="26">
        <v>0.763956904411315</v>
      </c>
      <c r="F3" s="26">
        <v>0.804638981819152</v>
      </c>
      <c r="G3" s="20"/>
      <c r="H3" s="27"/>
      <c r="I3" s="28" t="s">
        <v>39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6"/>
      <c r="B4" s="25">
        <v>1.0</v>
      </c>
      <c r="C4" s="26">
        <v>0.864358365535736</v>
      </c>
      <c r="D4" s="26">
        <v>0.780973434448242</v>
      </c>
      <c r="E4" s="26">
        <v>0.806072473526001</v>
      </c>
      <c r="F4" s="26">
        <v>0.852935671806335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6"/>
      <c r="B5" s="25">
        <v>2.0</v>
      </c>
      <c r="C5" s="26">
        <v>0.857504308223724</v>
      </c>
      <c r="D5" s="26">
        <v>0.800000011920929</v>
      </c>
      <c r="E5" s="26">
        <v>0.790401577949523</v>
      </c>
      <c r="F5" s="26">
        <v>0.857649803161621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6"/>
      <c r="B6" s="25">
        <v>3.0</v>
      </c>
      <c r="C6" s="26">
        <v>0.850842475891113</v>
      </c>
      <c r="D6" s="26">
        <v>0.793220341205596</v>
      </c>
      <c r="E6" s="26">
        <v>0.761018633842468</v>
      </c>
      <c r="F6" s="26">
        <v>0.868496417999267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6"/>
      <c r="B7" s="29">
        <v>4.0</v>
      </c>
      <c r="C7" s="30">
        <v>0.872159004211425</v>
      </c>
      <c r="D7" s="30">
        <v>0.825311958789825</v>
      </c>
      <c r="E7" s="30">
        <v>0.808031320571899</v>
      </c>
      <c r="F7" s="30">
        <v>0.864378690719604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6"/>
      <c r="B8" s="25" t="s">
        <v>40</v>
      </c>
      <c r="C8" s="31">
        <f t="shared" ref="C8:F8" si="1">AVERAGE(C3:C7)</f>
        <v>0.8552044272</v>
      </c>
      <c r="D8" s="31">
        <f t="shared" si="1"/>
        <v>0.7864050388</v>
      </c>
      <c r="E8" s="31">
        <f t="shared" si="1"/>
        <v>0.7858961821</v>
      </c>
      <c r="F8" s="31">
        <f t="shared" si="1"/>
        <v>0.8496199131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7"/>
      <c r="B9" s="25" t="s">
        <v>41</v>
      </c>
      <c r="C9" s="31">
        <f t="shared" ref="C9:F9" si="2">STDEV(C3:C8)</f>
        <v>0.01395564295</v>
      </c>
      <c r="D9" s="31">
        <f t="shared" si="2"/>
        <v>0.03058816538</v>
      </c>
      <c r="E9" s="31">
        <f t="shared" si="2"/>
        <v>0.02008765788</v>
      </c>
      <c r="F9" s="31">
        <f t="shared" si="2"/>
        <v>0.02312099273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2" t="s">
        <v>35</v>
      </c>
      <c r="B11" s="23" t="s">
        <v>38</v>
      </c>
      <c r="C11" s="24" t="s">
        <v>1</v>
      </c>
      <c r="D11" s="24" t="s">
        <v>2</v>
      </c>
      <c r="E11" s="24" t="s">
        <v>3</v>
      </c>
      <c r="F11" s="24" t="s">
        <v>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6"/>
      <c r="B12" s="32">
        <v>0.0</v>
      </c>
      <c r="C12" s="33">
        <v>0.851016402244568</v>
      </c>
      <c r="D12" s="33">
        <v>0.831725597381592</v>
      </c>
      <c r="E12" s="33">
        <v>0.791223406791687</v>
      </c>
      <c r="F12" s="33">
        <v>0.903328537940979</v>
      </c>
      <c r="G12" s="28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6"/>
      <c r="B13" s="34">
        <v>1.0</v>
      </c>
      <c r="C13" s="35">
        <v>0.904</v>
      </c>
      <c r="D13" s="35">
        <v>0.864</v>
      </c>
      <c r="E13" s="35">
        <v>0.843</v>
      </c>
      <c r="F13" s="35">
        <v>0.933</v>
      </c>
      <c r="G13" s="28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6"/>
      <c r="B14" s="36">
        <v>2.0</v>
      </c>
      <c r="C14" s="33">
        <v>0.900663554668427</v>
      </c>
      <c r="D14" s="33">
        <v>0.867469906806946</v>
      </c>
      <c r="E14" s="33">
        <v>0.839095771312714</v>
      </c>
      <c r="F14" s="33">
        <v>0.927850246429443</v>
      </c>
      <c r="G14" s="28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6"/>
      <c r="B15" s="36">
        <v>3.0</v>
      </c>
      <c r="C15" s="33">
        <v>0.883955717086792</v>
      </c>
      <c r="D15" s="33">
        <v>0.848812103271484</v>
      </c>
      <c r="E15" s="33">
        <v>0.813829779624939</v>
      </c>
      <c r="F15" s="33">
        <v>0.933857202529907</v>
      </c>
      <c r="G15" s="28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16"/>
      <c r="B16" s="36">
        <v>4.0</v>
      </c>
      <c r="C16" s="33">
        <v>0.873733758926392</v>
      </c>
      <c r="D16" s="33">
        <v>0.863636374473572</v>
      </c>
      <c r="E16" s="33">
        <v>0.808510661125183</v>
      </c>
      <c r="F16" s="33">
        <v>0.937569618225098</v>
      </c>
      <c r="G16" s="28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6"/>
      <c r="B17" s="25" t="s">
        <v>40</v>
      </c>
      <c r="C17" s="31">
        <f t="shared" ref="C17:F17" si="3">AVERAGE(C12:C16)</f>
        <v>0.8826738866</v>
      </c>
      <c r="D17" s="31">
        <f t="shared" si="3"/>
        <v>0.8551287964</v>
      </c>
      <c r="E17" s="31">
        <f t="shared" si="3"/>
        <v>0.8191319238</v>
      </c>
      <c r="F17" s="31">
        <f t="shared" si="3"/>
        <v>0.927121121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7"/>
      <c r="B18" s="25" t="s">
        <v>41</v>
      </c>
      <c r="C18" s="31">
        <f t="shared" ref="C18:F18" si="4">STDEV(C12:C17)</f>
        <v>0.01929868678</v>
      </c>
      <c r="D18" s="31">
        <f t="shared" si="4"/>
        <v>0.01334908596</v>
      </c>
      <c r="E18" s="31">
        <f t="shared" si="4"/>
        <v>0.01943218744</v>
      </c>
      <c r="F18" s="31">
        <f t="shared" si="4"/>
        <v>0.01229411029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B19" s="21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2" t="s">
        <v>17</v>
      </c>
      <c r="B20" s="23" t="s">
        <v>38</v>
      </c>
      <c r="C20" s="24" t="s">
        <v>1</v>
      </c>
      <c r="D20" s="24" t="s">
        <v>2</v>
      </c>
      <c r="E20" s="24" t="s">
        <v>3</v>
      </c>
      <c r="F20" s="24" t="s">
        <v>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16"/>
      <c r="B21" s="37">
        <v>0.0</v>
      </c>
      <c r="C21" s="38">
        <v>0.855693161487579</v>
      </c>
      <c r="D21" s="38">
        <v>0.818280756473541</v>
      </c>
      <c r="E21" s="38">
        <v>0.793827176094055</v>
      </c>
      <c r="F21" s="38">
        <v>0.892091333866119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16"/>
      <c r="B22" s="37">
        <v>1.0</v>
      </c>
      <c r="C22" s="38">
        <v>0.819225072860717</v>
      </c>
      <c r="D22" s="38">
        <v>0.776503324508667</v>
      </c>
      <c r="E22" s="38">
        <v>0.735390961170196</v>
      </c>
      <c r="F22" s="38">
        <v>0.86880075931549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6"/>
      <c r="B23" s="39">
        <v>2.0</v>
      </c>
      <c r="C23" s="40">
        <v>0.861225247383117</v>
      </c>
      <c r="D23" s="40">
        <v>0.822531402111053</v>
      </c>
      <c r="E23" s="40">
        <v>0.784773647785186</v>
      </c>
      <c r="F23" s="40">
        <v>0.896240174770355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16"/>
      <c r="B24" s="37">
        <v>3.0</v>
      </c>
      <c r="C24" s="38">
        <v>0.84913432598114</v>
      </c>
      <c r="D24" s="38">
        <v>0.807132482528686</v>
      </c>
      <c r="E24" s="38">
        <v>0.781893014907836</v>
      </c>
      <c r="F24" s="38">
        <v>0.870687127113342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16"/>
      <c r="B25" s="37">
        <v>4.0</v>
      </c>
      <c r="C25" s="38">
        <v>0.857678353786468</v>
      </c>
      <c r="D25" s="38">
        <v>0.796005725860595</v>
      </c>
      <c r="E25" s="38">
        <v>0.764609038829803</v>
      </c>
      <c r="F25" s="38">
        <v>0.895094573497772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16"/>
      <c r="B26" s="25" t="s">
        <v>40</v>
      </c>
      <c r="C26" s="31">
        <f t="shared" ref="C26:F26" si="5">AVERAGE(C21:C25)</f>
        <v>0.8485912323</v>
      </c>
      <c r="D26" s="31">
        <f t="shared" si="5"/>
        <v>0.8040907383</v>
      </c>
      <c r="E26" s="31">
        <f t="shared" si="5"/>
        <v>0.7720987678</v>
      </c>
      <c r="F26" s="31">
        <f t="shared" si="5"/>
        <v>0.8845827937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17"/>
      <c r="B27" s="25" t="s">
        <v>41</v>
      </c>
      <c r="C27" s="31">
        <f t="shared" ref="C27:F27" si="6">STDEV(C21:C26)</f>
        <v>0.0152006433</v>
      </c>
      <c r="D27" s="31">
        <f t="shared" si="6"/>
        <v>0.01659578098</v>
      </c>
      <c r="E27" s="31">
        <f t="shared" si="6"/>
        <v>0.02065072732</v>
      </c>
      <c r="F27" s="31">
        <f t="shared" si="6"/>
        <v>0.01220600166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1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2" t="s">
        <v>42</v>
      </c>
      <c r="B29" s="23" t="s">
        <v>38</v>
      </c>
      <c r="C29" s="24" t="s">
        <v>1</v>
      </c>
      <c r="D29" s="24" t="s">
        <v>2</v>
      </c>
      <c r="E29" s="24" t="s">
        <v>3</v>
      </c>
      <c r="F29" s="24" t="s">
        <v>4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16"/>
      <c r="B30" s="41">
        <v>0.0</v>
      </c>
      <c r="C30" s="26">
        <v>0.903119921684265</v>
      </c>
      <c r="D30" s="26">
        <v>0.826086938381195</v>
      </c>
      <c r="E30" s="26">
        <v>0.839999973773956</v>
      </c>
      <c r="F30" s="26">
        <v>0.895573019981384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16"/>
      <c r="B31" s="41">
        <v>1.0</v>
      </c>
      <c r="C31" s="26">
        <v>0.859180092811584</v>
      </c>
      <c r="D31" s="26">
        <v>0.722222208976745</v>
      </c>
      <c r="E31" s="26">
        <v>0.800000011920929</v>
      </c>
      <c r="F31" s="26">
        <v>0.856259167194366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16"/>
      <c r="B32" s="41">
        <v>2.0</v>
      </c>
      <c r="C32" s="26">
        <v>0.902777791023254</v>
      </c>
      <c r="D32" s="26">
        <v>0.592592597007751</v>
      </c>
      <c r="E32" s="26">
        <v>0.77999997138977</v>
      </c>
      <c r="F32" s="26">
        <v>0.841893315315246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16"/>
      <c r="B33" s="41">
        <v>3.0</v>
      </c>
      <c r="C33" s="26">
        <v>0.80952376127243</v>
      </c>
      <c r="D33" s="26">
        <v>0.666666686534881</v>
      </c>
      <c r="E33" s="26">
        <v>0.800000011920929</v>
      </c>
      <c r="F33" s="26">
        <v>0.704304635524749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16"/>
      <c r="B34" s="42">
        <v>4.0</v>
      </c>
      <c r="C34" s="30">
        <v>0.952380955219268</v>
      </c>
      <c r="D34" s="30">
        <v>0.899999976158142</v>
      </c>
      <c r="E34" s="30">
        <v>0.9200000166893</v>
      </c>
      <c r="F34" s="30">
        <v>0.953826665878295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16"/>
      <c r="B35" s="43" t="s">
        <v>40</v>
      </c>
      <c r="C35" s="31">
        <f t="shared" ref="C35:F35" si="7">AVERAGE(C30:C34)</f>
        <v>0.8853965044</v>
      </c>
      <c r="D35" s="31">
        <f t="shared" si="7"/>
        <v>0.7415136814</v>
      </c>
      <c r="E35" s="31">
        <f t="shared" si="7"/>
        <v>0.8279999971</v>
      </c>
      <c r="F35" s="31">
        <f t="shared" si="7"/>
        <v>0.8503713608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17"/>
      <c r="B36" s="43" t="s">
        <v>41</v>
      </c>
      <c r="C36" s="31">
        <f t="shared" ref="C36:F36" si="8">STDEV(C30:C35)</f>
        <v>0.04805646405</v>
      </c>
      <c r="D36" s="31">
        <f t="shared" si="8"/>
        <v>0.1099293085</v>
      </c>
      <c r="E36" s="31">
        <f t="shared" si="8"/>
        <v>0.0499599917</v>
      </c>
      <c r="F36" s="31">
        <f t="shared" si="8"/>
        <v>0.08269005006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37"/>
      <c r="C38" s="38"/>
      <c r="D38" s="38"/>
      <c r="E38" s="38"/>
      <c r="F38" s="38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2" t="s">
        <v>43</v>
      </c>
      <c r="B39" s="23" t="s">
        <v>38</v>
      </c>
      <c r="C39" s="24" t="s">
        <v>1</v>
      </c>
      <c r="D39" s="24" t="s">
        <v>2</v>
      </c>
      <c r="E39" s="24" t="s">
        <v>3</v>
      </c>
      <c r="F39" s="24" t="s">
        <v>4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16"/>
      <c r="B40" s="41">
        <v>0.0</v>
      </c>
      <c r="C40" s="26">
        <v>0.826923072338104</v>
      </c>
      <c r="D40" s="26">
        <v>0.555555582046508</v>
      </c>
      <c r="E40" s="26">
        <v>0.789473712444305</v>
      </c>
      <c r="F40" s="26">
        <v>0.776615500450134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16"/>
      <c r="B41" s="41">
        <v>1.0</v>
      </c>
      <c r="C41" s="26">
        <v>0.751152038574218</v>
      </c>
      <c r="D41" s="26">
        <v>0.571428596973419</v>
      </c>
      <c r="E41" s="26">
        <v>0.842105269432067</v>
      </c>
      <c r="F41" s="26">
        <v>0.662632763385772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6"/>
      <c r="B42" s="41">
        <v>2.0</v>
      </c>
      <c r="C42" s="26">
        <v>0.645161271095275</v>
      </c>
      <c r="D42" s="26">
        <v>0.0</v>
      </c>
      <c r="E42" s="26">
        <v>0.815789461135864</v>
      </c>
      <c r="F42" s="26">
        <v>0.221702486276626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6"/>
      <c r="B43" s="44">
        <v>3.0</v>
      </c>
      <c r="C43" s="30">
        <v>0.882154881954193</v>
      </c>
      <c r="D43" s="30">
        <v>0.777777791023254</v>
      </c>
      <c r="E43" s="30">
        <v>0.89473682641983</v>
      </c>
      <c r="F43" s="30">
        <v>0.851928770542144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6"/>
      <c r="B44" s="41">
        <v>4.0</v>
      </c>
      <c r="C44" s="26">
        <v>0.800000071525573</v>
      </c>
      <c r="D44" s="26">
        <v>0.699999988079071</v>
      </c>
      <c r="E44" s="26">
        <v>0.842105269432067</v>
      </c>
      <c r="F44" s="26">
        <v>0.404822051525115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6"/>
      <c r="B45" s="43" t="s">
        <v>40</v>
      </c>
      <c r="C45" s="31">
        <f t="shared" ref="C45:F45" si="9">AVERAGE(C40:C44)</f>
        <v>0.7810782671</v>
      </c>
      <c r="D45" s="31">
        <f t="shared" si="9"/>
        <v>0.5209523916</v>
      </c>
      <c r="E45" s="31">
        <f t="shared" si="9"/>
        <v>0.8368421078</v>
      </c>
      <c r="F45" s="31">
        <f t="shared" si="9"/>
        <v>0.5835403144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7"/>
      <c r="B46" s="43" t="s">
        <v>41</v>
      </c>
      <c r="C46" s="31">
        <f t="shared" ref="C46:F46" si="10">STDEV(C40:C45)</f>
        <v>0.08005656985</v>
      </c>
      <c r="D46" s="31">
        <f t="shared" si="10"/>
        <v>0.273186365</v>
      </c>
      <c r="E46" s="31">
        <f t="shared" si="10"/>
        <v>0.03491182893</v>
      </c>
      <c r="F46" s="31">
        <f t="shared" si="10"/>
        <v>0.2359800151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1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1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2" t="s">
        <v>44</v>
      </c>
      <c r="B49" s="23" t="s">
        <v>38</v>
      </c>
      <c r="C49" s="24" t="s">
        <v>1</v>
      </c>
      <c r="D49" s="24" t="s">
        <v>2</v>
      </c>
      <c r="E49" s="24" t="s">
        <v>3</v>
      </c>
      <c r="F49" s="24" t="s">
        <v>4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6"/>
      <c r="B50" s="45">
        <v>0.0</v>
      </c>
      <c r="C50" s="46">
        <v>0.892687857151031</v>
      </c>
      <c r="D50" s="46">
        <v>0.784246563911438</v>
      </c>
      <c r="E50" s="46">
        <v>0.826923072338104</v>
      </c>
      <c r="F50" s="46">
        <v>0.857027053833007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6"/>
      <c r="B51" s="37">
        <v>1.0</v>
      </c>
      <c r="C51" s="38">
        <v>0.873192071914672</v>
      </c>
      <c r="D51" s="38">
        <v>0.686813175678253</v>
      </c>
      <c r="E51" s="38">
        <v>0.843406617641449</v>
      </c>
      <c r="F51" s="38">
        <v>0.787493288516998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6"/>
      <c r="B52" s="37">
        <v>2.0</v>
      </c>
      <c r="C52" s="38">
        <v>0.889535129070282</v>
      </c>
      <c r="D52" s="38">
        <v>0.725995302200317</v>
      </c>
      <c r="E52" s="38">
        <v>0.839285731315612</v>
      </c>
      <c r="F52" s="38">
        <v>0.796374022960662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6"/>
      <c r="B53" s="37">
        <v>3.0</v>
      </c>
      <c r="C53" s="38">
        <v>0.879616379737854</v>
      </c>
      <c r="D53" s="38">
        <v>0.712962985038757</v>
      </c>
      <c r="E53" s="38">
        <v>0.829670310020446</v>
      </c>
      <c r="F53" s="38">
        <v>0.807649850845336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6"/>
      <c r="B54" s="37">
        <v>4.0</v>
      </c>
      <c r="C54" s="38">
        <v>0.841758370399475</v>
      </c>
      <c r="D54" s="38">
        <v>0.682577550411224</v>
      </c>
      <c r="E54" s="38">
        <v>0.817307710647583</v>
      </c>
      <c r="F54" s="38">
        <v>0.781374394893646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6"/>
      <c r="B55" s="43" t="s">
        <v>40</v>
      </c>
      <c r="C55" s="31">
        <f t="shared" ref="C55:F55" si="11">AVERAGE(C50:C54)</f>
        <v>0.8753579617</v>
      </c>
      <c r="D55" s="31">
        <f t="shared" si="11"/>
        <v>0.7185191154</v>
      </c>
      <c r="E55" s="31">
        <f t="shared" si="11"/>
        <v>0.8313186884</v>
      </c>
      <c r="F55" s="31">
        <f t="shared" si="11"/>
        <v>0.8059837222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7"/>
      <c r="B56" s="43" t="s">
        <v>41</v>
      </c>
      <c r="C56" s="31">
        <f t="shared" ref="C56:F56" si="12">STDEV(C50:C55)</f>
        <v>0.01818282205</v>
      </c>
      <c r="D56" s="31">
        <f t="shared" si="12"/>
        <v>0.03661672882</v>
      </c>
      <c r="E56" s="31">
        <f t="shared" si="12"/>
        <v>0.009251355529</v>
      </c>
      <c r="F56" s="31">
        <f t="shared" si="12"/>
        <v>0.02701132776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1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1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2" t="s">
        <v>45</v>
      </c>
      <c r="B59" s="23" t="s">
        <v>38</v>
      </c>
      <c r="C59" s="24" t="s">
        <v>1</v>
      </c>
      <c r="D59" s="24" t="s">
        <v>2</v>
      </c>
      <c r="E59" s="24" t="s">
        <v>3</v>
      </c>
      <c r="F59" s="24" t="s">
        <v>4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6"/>
      <c r="B60" s="47">
        <v>0.0</v>
      </c>
      <c r="C60" s="48">
        <v>0.855403363704681</v>
      </c>
      <c r="D60" s="48">
        <v>0.614173233509063</v>
      </c>
      <c r="E60" s="48">
        <v>0.783185839653015</v>
      </c>
      <c r="F60" s="48">
        <v>0.742777943611145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6"/>
      <c r="B61" s="37">
        <v>1.0</v>
      </c>
      <c r="C61" s="38">
        <v>0.853625535964965</v>
      </c>
      <c r="D61" s="38">
        <v>0.621212124824523</v>
      </c>
      <c r="E61" s="38">
        <v>0.778761088848114</v>
      </c>
      <c r="F61" s="38">
        <v>0.712100267410278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6"/>
      <c r="B62" s="37">
        <v>2.0</v>
      </c>
      <c r="C62" s="38">
        <v>0.822245299816131</v>
      </c>
      <c r="D62" s="38">
        <v>0.604316532611846</v>
      </c>
      <c r="E62" s="38">
        <v>0.756637156009674</v>
      </c>
      <c r="F62" s="38">
        <v>0.654867529869079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6"/>
      <c r="B63" s="37">
        <v>3.0</v>
      </c>
      <c r="C63" s="38">
        <v>0.810680568218231</v>
      </c>
      <c r="D63" s="38">
        <v>0.573529422283172</v>
      </c>
      <c r="E63" s="38">
        <v>0.743362843990325</v>
      </c>
      <c r="F63" s="38">
        <v>0.558774411678314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6"/>
      <c r="B64" s="37">
        <v>4.0</v>
      </c>
      <c r="C64" s="38">
        <v>0.743009030818939</v>
      </c>
      <c r="D64" s="38">
        <v>0.496644288301467</v>
      </c>
      <c r="E64" s="38">
        <v>0.668141603469848</v>
      </c>
      <c r="F64" s="38">
        <v>0.395759969949722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6"/>
      <c r="B65" s="43" t="s">
        <v>40</v>
      </c>
      <c r="C65" s="31">
        <f t="shared" ref="C65:F65" si="13">AVERAGE(C60:C64)</f>
        <v>0.8169927597</v>
      </c>
      <c r="D65" s="31">
        <f t="shared" si="13"/>
        <v>0.5819751203</v>
      </c>
      <c r="E65" s="31">
        <f t="shared" si="13"/>
        <v>0.7460177064</v>
      </c>
      <c r="F65" s="31">
        <f t="shared" si="13"/>
        <v>0.6128560245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7"/>
      <c r="B66" s="43" t="s">
        <v>41</v>
      </c>
      <c r="C66" s="31">
        <f t="shared" ref="C66:F66" si="14">STDEV(C60:C65)</f>
        <v>0.04088608535</v>
      </c>
      <c r="D66" s="31">
        <f t="shared" si="14"/>
        <v>0.04566854591</v>
      </c>
      <c r="E66" s="31">
        <f t="shared" si="14"/>
        <v>0.04156466681</v>
      </c>
      <c r="F66" s="31">
        <f t="shared" si="14"/>
        <v>0.125339227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1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1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2" t="s">
        <v>46</v>
      </c>
      <c r="B69" s="23" t="s">
        <v>38</v>
      </c>
      <c r="C69" s="24" t="s">
        <v>1</v>
      </c>
      <c r="D69" s="24" t="s">
        <v>2</v>
      </c>
      <c r="E69" s="24" t="s">
        <v>3</v>
      </c>
      <c r="F69" s="24" t="s">
        <v>4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6"/>
      <c r="B70" s="39">
        <v>0.0</v>
      </c>
      <c r="C70" s="40">
        <v>0.815354466438293</v>
      </c>
      <c r="D70" s="40">
        <v>0.448979586362838</v>
      </c>
      <c r="E70" s="40">
        <v>0.830188691616058</v>
      </c>
      <c r="F70" s="40">
        <v>0.685145497322082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6"/>
      <c r="B71" s="37">
        <v>1.0</v>
      </c>
      <c r="C71" s="38">
        <v>0.62974464893341</v>
      </c>
      <c r="D71" s="38">
        <v>0.0</v>
      </c>
      <c r="E71" s="38">
        <v>0.867924511432647</v>
      </c>
      <c r="F71" s="38">
        <v>0.201806664466857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6"/>
      <c r="B72" s="37">
        <v>2.0</v>
      </c>
      <c r="C72" s="38">
        <v>0.744941234588623</v>
      </c>
      <c r="D72" s="38">
        <v>0.0571428574621677</v>
      </c>
      <c r="E72" s="38">
        <v>0.792452812194824</v>
      </c>
      <c r="F72" s="38">
        <v>0.478635311126709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6"/>
      <c r="B73" s="37">
        <v>3.0</v>
      </c>
      <c r="C73" s="38">
        <v>0.870531380176544</v>
      </c>
      <c r="D73" s="38">
        <v>0.0</v>
      </c>
      <c r="E73" s="38">
        <v>0.566037714481353</v>
      </c>
      <c r="F73" s="38">
        <v>0.861364543437957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6"/>
      <c r="B74" s="37">
        <v>4.0</v>
      </c>
      <c r="C74" s="38">
        <v>0.653554260730743</v>
      </c>
      <c r="D74" s="38">
        <v>0.0</v>
      </c>
      <c r="E74" s="38">
        <v>0.867924511432647</v>
      </c>
      <c r="F74" s="38">
        <v>0.185034677386283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6"/>
      <c r="B75" s="43" t="s">
        <v>40</v>
      </c>
      <c r="C75" s="31">
        <f t="shared" ref="C75:F75" si="15">AVERAGE(C70:C74)</f>
        <v>0.7428251982</v>
      </c>
      <c r="D75" s="31">
        <f t="shared" si="15"/>
        <v>0.1012244888</v>
      </c>
      <c r="E75" s="31">
        <f t="shared" si="15"/>
        <v>0.7849056482</v>
      </c>
      <c r="F75" s="31">
        <f t="shared" si="15"/>
        <v>0.4823973387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7"/>
      <c r="B76" s="43" t="s">
        <v>41</v>
      </c>
      <c r="C76" s="31">
        <f t="shared" ref="C76:F76" si="16">STDEV(C70:C75)</f>
        <v>0.09201125168</v>
      </c>
      <c r="D76" s="31">
        <f t="shared" si="16"/>
        <v>0.1752803409</v>
      </c>
      <c r="E76" s="31">
        <f t="shared" si="16"/>
        <v>0.1129556988</v>
      </c>
      <c r="F76" s="31">
        <f t="shared" si="16"/>
        <v>0.2652895738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1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1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2" t="s">
        <v>47</v>
      </c>
      <c r="B79" s="23" t="s">
        <v>38</v>
      </c>
      <c r="C79" s="24" t="s">
        <v>1</v>
      </c>
      <c r="D79" s="24" t="s">
        <v>2</v>
      </c>
      <c r="E79" s="24" t="s">
        <v>3</v>
      </c>
      <c r="F79" s="24" t="s">
        <v>4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6"/>
      <c r="B80" s="49">
        <v>0.0</v>
      </c>
      <c r="C80" s="28">
        <v>0.573466837406158</v>
      </c>
      <c r="D80" s="28">
        <v>0.270270258188248</v>
      </c>
      <c r="E80" s="28">
        <v>0.547486007213593</v>
      </c>
      <c r="F80" s="28">
        <v>0.56078976392746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6"/>
      <c r="B81" s="49">
        <v>1.0</v>
      </c>
      <c r="C81" s="28">
        <v>0.752903640270233</v>
      </c>
      <c r="D81" s="28">
        <v>0.638655483722687</v>
      </c>
      <c r="E81" s="28">
        <v>0.759776532649994</v>
      </c>
      <c r="F81" s="28">
        <v>0.638137996196747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6"/>
      <c r="B82" s="49">
        <v>2.0</v>
      </c>
      <c r="C82" s="28">
        <v>0.496152758598328</v>
      </c>
      <c r="D82" s="28">
        <v>0.358974367380142</v>
      </c>
      <c r="E82" s="28">
        <v>0.441340774297714</v>
      </c>
      <c r="F82" s="28">
        <v>0.373483389616013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6"/>
      <c r="B83" s="49">
        <v>3.0</v>
      </c>
      <c r="C83" s="28">
        <v>0.607142806053162</v>
      </c>
      <c r="D83" s="28">
        <v>0.0327868834137917</v>
      </c>
      <c r="E83" s="28">
        <v>0.670391082763672</v>
      </c>
      <c r="F83" s="28">
        <v>0.529770851135254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6"/>
      <c r="B84" s="50">
        <v>4.0</v>
      </c>
      <c r="C84" s="51">
        <v>0.818146467208862</v>
      </c>
      <c r="D84" s="51">
        <v>0.711409389972687</v>
      </c>
      <c r="E84" s="51">
        <v>0.759776532649994</v>
      </c>
      <c r="F84" s="51">
        <v>0.71098405122757</v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6"/>
      <c r="B85" s="43" t="s">
        <v>40</v>
      </c>
      <c r="C85" s="31">
        <f t="shared" ref="C85:F85" si="17">AVERAGE(C80:C84)</f>
        <v>0.6495625019</v>
      </c>
      <c r="D85" s="31">
        <f t="shared" si="17"/>
        <v>0.4024192765</v>
      </c>
      <c r="E85" s="31">
        <f t="shared" si="17"/>
        <v>0.6357541859</v>
      </c>
      <c r="F85" s="31">
        <f t="shared" si="17"/>
        <v>0.5626332104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7"/>
      <c r="B86" s="43" t="s">
        <v>41</v>
      </c>
      <c r="C86" s="31">
        <f t="shared" ref="C86:F86" si="18">STDEV(C80:C85)</f>
        <v>0.1185111592</v>
      </c>
      <c r="D86" s="31">
        <f t="shared" si="18"/>
        <v>0.2478956898</v>
      </c>
      <c r="E86" s="31">
        <f t="shared" si="18"/>
        <v>0.1245396689</v>
      </c>
      <c r="F86" s="31">
        <f t="shared" si="18"/>
        <v>0.1136397222</v>
      </c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1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1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1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1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1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1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1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1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1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1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1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1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1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1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1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1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1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1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1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1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1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1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1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1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1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1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1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1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1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1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1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1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1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1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1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1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1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1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1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1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1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1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1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1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1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1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1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1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1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1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1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1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1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1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1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1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1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1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1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1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1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1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1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1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1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1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1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1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1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1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1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1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1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1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1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1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1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1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1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1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1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1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1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1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1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1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1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1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1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1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1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1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1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1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1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1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1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1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1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1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1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1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1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1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1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1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1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1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1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1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1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1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1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1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1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1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1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1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1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1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1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1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1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1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1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1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1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1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1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1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1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1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1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1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1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1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1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1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1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1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1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1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1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1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1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1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1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1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1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1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1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1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1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1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1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1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1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1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1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1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1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1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1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1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1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1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1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1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1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1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1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1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1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1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1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1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1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1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1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1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1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1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1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1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1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1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1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1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1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1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1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1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1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1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1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1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1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1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1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1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1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1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1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1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1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1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1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1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1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1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1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1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1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1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1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1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1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1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1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1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1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1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1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1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1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1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1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1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1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1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1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1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1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1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1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1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1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1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1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1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1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1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1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1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1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1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1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1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1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1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1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1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1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1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1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1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1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1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1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1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1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1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1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1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1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1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1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1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1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1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1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1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1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1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1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1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1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1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1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1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1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1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1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1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1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1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1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1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1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1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1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1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1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1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1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1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1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1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1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1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1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1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1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1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1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1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1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1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1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1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1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1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1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1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1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1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1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1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1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1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1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1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1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1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1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1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1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1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1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1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1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1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1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1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1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1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1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1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1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1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1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1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1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1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1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1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1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1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1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1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1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1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1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1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1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1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1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1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1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1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1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1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1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1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1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1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1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1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1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1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1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1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1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1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1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1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1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1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1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1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1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1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1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1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1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1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1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1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1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1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1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1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1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1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1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1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1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1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1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1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1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1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1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1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1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1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1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1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1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1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1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1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1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1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1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1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1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1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1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1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1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1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1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1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1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1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1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1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1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1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1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1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1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1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1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1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1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1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1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1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1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1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1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1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1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1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1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1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1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1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1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1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1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1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1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1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1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1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1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1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1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1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1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1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1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1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1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1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1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1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1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1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1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1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1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1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1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1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1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1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1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1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1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1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1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1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1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1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1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1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1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1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1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1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1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1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1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1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1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1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1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1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1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1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1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1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1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1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1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1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1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1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1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1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1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1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1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1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1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1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1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1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1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1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1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1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1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1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1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1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1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1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1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1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1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1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1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1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1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1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1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1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1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1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1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1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1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1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1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1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1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1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1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1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1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1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1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1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1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1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1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1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1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1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1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1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1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1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1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1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1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1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1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1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1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1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1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1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1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1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1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1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1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1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1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1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1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1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1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1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1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1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1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1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1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1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1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1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1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1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1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1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1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1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1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1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1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1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1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1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1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1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1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1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1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1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1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1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1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1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1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1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1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1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1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1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1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1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1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1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1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1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1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1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1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1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1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1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1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1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1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1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1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1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1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1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1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1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1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1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1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1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1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1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1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1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1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1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1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1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1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1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1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1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1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1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1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1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1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1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1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1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1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1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1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1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1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1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1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1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1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1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1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1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1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1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1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1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1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1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1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1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1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1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1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1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1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1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1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1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1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1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1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1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1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1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1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1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1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1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1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1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1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1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1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1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1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1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1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1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1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1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1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1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1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1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1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1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1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1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1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1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1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1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1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1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1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1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1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1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1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1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1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1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1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1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1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1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1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1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1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1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1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1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1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1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1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1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1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1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1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1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1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1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1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1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1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1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1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1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1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1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1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1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1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1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1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1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1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1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1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1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1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1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1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1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1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1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1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1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1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1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1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1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1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1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1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1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1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1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1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1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1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1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1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1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1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1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1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1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1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1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1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1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1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1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1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1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1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1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1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1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1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1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1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1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1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1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1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1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1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1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1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1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1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1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1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1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1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1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1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1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1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1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1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1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1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1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1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1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1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1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1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1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1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1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1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1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1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1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1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1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1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1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1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1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1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1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1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1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1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1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1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1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1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1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1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1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1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1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1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1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1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1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1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1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1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1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1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1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1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1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1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1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1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1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1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1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1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1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1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1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1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9">
    <mergeCell ref="A69:A76"/>
    <mergeCell ref="A79:A86"/>
    <mergeCell ref="A2:A9"/>
    <mergeCell ref="A11:A18"/>
    <mergeCell ref="A20:A27"/>
    <mergeCell ref="A29:A36"/>
    <mergeCell ref="A39:A46"/>
    <mergeCell ref="A49:A56"/>
    <mergeCell ref="A59:A66"/>
  </mergeCells>
  <drawing r:id="rId1"/>
</worksheet>
</file>