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1" sheetId="1" r:id="rId5"/>
    <sheet state="visible" name="S2" sheetId="2" r:id="rId6"/>
    <sheet state="visible" name="S3" sheetId="3" r:id="rId7"/>
  </sheets>
  <definedNames/>
  <calcPr/>
</workbook>
</file>

<file path=xl/sharedStrings.xml><?xml version="1.0" encoding="utf-8"?>
<sst xmlns="http://schemas.openxmlformats.org/spreadsheetml/2006/main" count="126" uniqueCount="48">
  <si>
    <t>Model name</t>
  </si>
  <si>
    <t>ROC</t>
  </si>
  <si>
    <t>F1</t>
  </si>
  <si>
    <t>Accuracy</t>
  </si>
  <si>
    <t>PRC</t>
  </si>
  <si>
    <t>Cutoff</t>
  </si>
  <si>
    <t>Patience</t>
  </si>
  <si>
    <t>Epoch limit</t>
  </si>
  <si>
    <t>T_cruzi_Organism</t>
  </si>
  <si>
    <t>1000 nM</t>
  </si>
  <si>
    <t>T_cruzi_Amastigote</t>
  </si>
  <si>
    <t>T_cruzi_Trypomastigote</t>
  </si>
  <si>
    <t>T_cruzi_Epimastigote</t>
  </si>
  <si>
    <t>10000 nM</t>
  </si>
  <si>
    <t>T_cruzi_Sterol_Demthylase</t>
  </si>
  <si>
    <t>T_cruzi_Cruzipain</t>
  </si>
  <si>
    <t xml:space="preserve">Blood_stage_Malaria </t>
  </si>
  <si>
    <t>Plasmodium_falciparum_ORG</t>
  </si>
  <si>
    <t>Plasmodium_berghei_ORG</t>
  </si>
  <si>
    <t>P_faciparum_CQ_resistant</t>
  </si>
  <si>
    <t>CHEMBL_ID</t>
  </si>
  <si>
    <t>Name of the target</t>
  </si>
  <si>
    <t>Derivative Model name</t>
  </si>
  <si>
    <t>Keyword on "Assay description"</t>
  </si>
  <si>
    <t>Keywords on  “Assay cell type"</t>
  </si>
  <si>
    <t>CHEMBL368</t>
  </si>
  <si>
    <t>T.cruzi - organism</t>
  </si>
  <si>
    <t>amastigote</t>
  </si>
  <si>
    <t>-</t>
  </si>
  <si>
    <t>trypomastigote</t>
  </si>
  <si>
    <t>epimastigote</t>
  </si>
  <si>
    <t>CHEMBL364</t>
  </si>
  <si>
    <t>P. falciparum - organism</t>
  </si>
  <si>
    <t>blood stage", "asexual blood stage", "blood-stage", "erythrocytes", "erythrocyte", "rbc", "red blood cell", "red blood cells", "infected in human erythrocytes", "infected in erythrocytes", "infected in rbc", "infected erythrocytes", "infected red blood cell"</t>
  </si>
  <si>
    <t>"erythrocyte", "rbc", "red blood cell", "red blood cells"</t>
  </si>
  <si>
    <t>Plasmodium_CQ_resistant</t>
  </si>
  <si>
    <r>
      <rPr>
        <rFont val="Arial"/>
        <b/>
        <color theme="1"/>
      </rPr>
      <t>Including:</t>
    </r>
    <r>
      <rPr>
        <rFont val="Arial"/>
        <color theme="1"/>
      </rPr>
      <t xml:space="preserve"> r'chloroquine[-\s]?resist|resist\w*\s+(?:to\s+)?chloroquine';</t>
    </r>
    <r>
      <rPr>
        <rFont val="Arial"/>
        <b/>
        <color theme="1"/>
      </rPr>
      <t>Excluding</t>
    </r>
    <r>
      <rPr>
        <rFont val="Arial"/>
        <color theme="1"/>
      </rPr>
      <t>:r'chloroquine[-\s]?susceptibl|susceptibl\w*\s+(?:to\s+)?chloroquine'</t>
    </r>
  </si>
  <si>
    <t xml:space="preserve">Blood_stage Malaria </t>
  </si>
  <si>
    <t>Replicate</t>
  </si>
  <si>
    <t>In the web-server</t>
  </si>
  <si>
    <t>Average</t>
  </si>
  <si>
    <t>Standard Deviation</t>
  </si>
  <si>
    <t>Cruzipain</t>
  </si>
  <si>
    <t>Sterol_Demethylase</t>
  </si>
  <si>
    <t>T-cruzi-org</t>
  </si>
  <si>
    <t>T-cruzi-Amastigota</t>
  </si>
  <si>
    <t>T-cruzi-Tripomastigota</t>
  </si>
  <si>
    <t>T-cruzi-epimastigota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</si>
</sst>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11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sz val="9.0"/>
      <color theme="1"/>
      <name val="Times New Roman"/>
    </font>
    <font>
      <b/>
      <sz val="9.0"/>
      <color theme="1"/>
      <name val="Times New Roman"/>
    </font>
    <font>
      <b/>
      <sz val="9.0"/>
      <color rgb="FF000000"/>
      <name val="Times New Roman"/>
    </font>
    <font>
      <sz val="9.0"/>
      <color rgb="FF000000"/>
      <name val="Times New Roman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4A86E8"/>
        <bgColor rgb="FF4A86E8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1" fillId="0" fontId="2" numFmtId="164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center" readingOrder="0"/>
    </xf>
    <xf borderId="1" fillId="0" fontId="1" numFmtId="164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 readingOrder="0"/>
    </xf>
    <xf borderId="1" fillId="0" fontId="3" numFmtId="164" xfId="0" applyAlignment="1" applyBorder="1" applyFont="1" applyNumberForma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shrinkToFit="0" wrapText="1"/>
    </xf>
    <xf borderId="1" fillId="0" fontId="2" numFmtId="0" xfId="0" applyAlignment="1" applyBorder="1" applyFont="1">
      <alignment horizontal="center" readingOrder="0" shrinkToFit="0" wrapText="1"/>
    </xf>
    <xf borderId="1" fillId="0" fontId="4" numFmtId="0" xfId="0" applyAlignment="1" applyBorder="1" applyFont="1">
      <alignment horizontal="center" readingOrder="0" shrinkToFit="0" vertical="bottom" wrapText="1"/>
    </xf>
    <xf borderId="1" fillId="0" fontId="1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shrinkToFit="0" vertical="bottom" wrapText="1"/>
    </xf>
    <xf borderId="3" fillId="0" fontId="6" numFmtId="0" xfId="0" applyBorder="1" applyFont="1"/>
    <xf borderId="4" fillId="0" fontId="6" numFmtId="0" xfId="0" applyBorder="1" applyFont="1"/>
    <xf borderId="1" fillId="2" fontId="1" numFmtId="0" xfId="0" applyAlignment="1" applyBorder="1" applyFill="1" applyFont="1">
      <alignment horizontal="left" readingOrder="0" shrinkToFit="0" wrapText="1"/>
    </xf>
    <xf borderId="1" fillId="0" fontId="1" numFmtId="0" xfId="0" applyAlignment="1" applyBorder="1" applyFont="1">
      <alignment shrinkToFit="0" wrapText="1"/>
    </xf>
    <xf borderId="0" fillId="0" fontId="7" numFmtId="164" xfId="0" applyFont="1" applyNumberFormat="1"/>
    <xf borderId="0" fillId="0" fontId="7" numFmtId="1" xfId="0" applyFont="1" applyNumberFormat="1"/>
    <xf borderId="2" fillId="0" fontId="8" numFmtId="164" xfId="0" applyAlignment="1" applyBorder="1" applyFont="1" applyNumberFormat="1">
      <alignment readingOrder="0" shrinkToFit="0" vertical="center" wrapText="1"/>
    </xf>
    <xf borderId="1" fillId="0" fontId="8" numFmtId="1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center" readingOrder="0"/>
    </xf>
    <xf borderId="1" fillId="0" fontId="7" numFmtId="1" xfId="0" applyAlignment="1" applyBorder="1" applyFont="1" applyNumberFormat="1">
      <alignment readingOrder="0"/>
    </xf>
    <xf borderId="1" fillId="0" fontId="7" numFmtId="164" xfId="0" applyAlignment="1" applyBorder="1" applyFont="1" applyNumberFormat="1">
      <alignment horizontal="left" readingOrder="0"/>
    </xf>
    <xf borderId="0" fillId="3" fontId="7" numFmtId="164" xfId="0" applyFill="1" applyFont="1" applyNumberFormat="1"/>
    <xf borderId="0" fillId="0" fontId="7" numFmtId="164" xfId="0" applyAlignment="1" applyFont="1" applyNumberFormat="1">
      <alignment readingOrder="0"/>
    </xf>
    <xf borderId="1" fillId="3" fontId="9" numFmtId="1" xfId="0" applyAlignment="1" applyBorder="1" applyFont="1" applyNumberFormat="1">
      <alignment readingOrder="0"/>
    </xf>
    <xf borderId="1" fillId="3" fontId="9" numFmtId="164" xfId="0" applyAlignment="1" applyBorder="1" applyFont="1" applyNumberFormat="1">
      <alignment horizontal="left" readingOrder="0"/>
    </xf>
    <xf borderId="1" fillId="0" fontId="7" numFmtId="164" xfId="0" applyBorder="1" applyFont="1" applyNumberFormat="1"/>
    <xf borderId="1" fillId="0" fontId="1" numFmtId="0" xfId="0" applyAlignment="1" applyBorder="1" applyFont="1">
      <alignment readingOrder="0"/>
    </xf>
    <xf borderId="1" fillId="0" fontId="1" numFmtId="164" xfId="0" applyAlignment="1" applyBorder="1" applyFont="1" applyNumberFormat="1">
      <alignment horizontal="right" readingOrder="0"/>
    </xf>
    <xf borderId="1" fillId="3" fontId="2" numFmtId="1" xfId="0" applyAlignment="1" applyBorder="1" applyFont="1" applyNumberFormat="1">
      <alignment horizontal="right" readingOrder="0"/>
    </xf>
    <xf borderId="1" fillId="3" fontId="2" numFmtId="164" xfId="0" applyAlignment="1" applyBorder="1" applyFont="1" applyNumberFormat="1">
      <alignment horizontal="right" readingOrder="0"/>
    </xf>
    <xf borderId="1" fillId="0" fontId="1" numFmtId="1" xfId="0" applyAlignment="1" applyBorder="1" applyFont="1" applyNumberFormat="1">
      <alignment horizontal="right" readingOrder="0"/>
    </xf>
    <xf borderId="0" fillId="0" fontId="7" numFmtId="1" xfId="0" applyAlignment="1" applyFont="1" applyNumberFormat="1">
      <alignment horizontal="right" readingOrder="0"/>
    </xf>
    <xf borderId="0" fillId="0" fontId="7" numFmtId="164" xfId="0" applyAlignment="1" applyFont="1" applyNumberFormat="1">
      <alignment horizontal="left" readingOrder="0"/>
    </xf>
    <xf borderId="0" fillId="3" fontId="8" numFmtId="1" xfId="0" applyAlignment="1" applyFont="1" applyNumberFormat="1">
      <alignment horizontal="right" readingOrder="0"/>
    </xf>
    <xf borderId="0" fillId="3" fontId="8" numFmtId="164" xfId="0" applyAlignment="1" applyFont="1" applyNumberFormat="1">
      <alignment horizontal="left" readingOrder="0"/>
    </xf>
    <xf borderId="1" fillId="0" fontId="7" numFmtId="1" xfId="0" applyAlignment="1" applyBorder="1" applyFont="1" applyNumberFormat="1">
      <alignment horizontal="right" readingOrder="0"/>
    </xf>
    <xf borderId="1" fillId="3" fontId="9" numFmtId="1" xfId="0" applyAlignment="1" applyBorder="1" applyFont="1" applyNumberFormat="1">
      <alignment horizontal="right" readingOrder="0"/>
    </xf>
    <xf borderId="1" fillId="0" fontId="8" numFmtId="1" xfId="0" applyAlignment="1" applyBorder="1" applyFont="1" applyNumberFormat="1">
      <alignment readingOrder="0"/>
    </xf>
    <xf borderId="1" fillId="3" fontId="10" numFmtId="1" xfId="0" applyAlignment="1" applyBorder="1" applyFont="1" applyNumberFormat="1">
      <alignment horizontal="right" readingOrder="0"/>
    </xf>
    <xf borderId="0" fillId="3" fontId="9" numFmtId="1" xfId="0" applyAlignment="1" applyFont="1" applyNumberFormat="1">
      <alignment horizontal="right" readingOrder="0"/>
    </xf>
    <xf borderId="0" fillId="3" fontId="9" numFmtId="164" xfId="0" applyAlignment="1" applyFont="1" applyNumberFormat="1">
      <alignment horizontal="left" readingOrder="0"/>
    </xf>
    <xf borderId="0" fillId="4" fontId="8" numFmtId="1" xfId="0" applyAlignment="1" applyFill="1" applyFont="1" applyNumberFormat="1">
      <alignment horizontal="right" readingOrder="0"/>
    </xf>
    <xf borderId="0" fillId="4" fontId="8" numFmtId="164" xfId="0" applyAlignment="1" applyFont="1" applyNumberFormat="1">
      <alignment horizontal="left" readingOrder="0"/>
    </xf>
    <xf borderId="0" fillId="0" fontId="7" numFmtId="1" xfId="0" applyAlignment="1" applyFont="1" applyNumberFormat="1">
      <alignment readingOrder="0"/>
    </xf>
    <xf borderId="0" fillId="3" fontId="8" numFmtId="1" xfId="0" applyAlignment="1" applyFont="1" applyNumberFormat="1">
      <alignment readingOrder="0"/>
    </xf>
    <xf borderId="0" fillId="3" fontId="8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24.0"/>
  </cols>
  <sheetData>
    <row r="1">
      <c r="A1" s="1"/>
      <c r="B1" s="2"/>
      <c r="C1" s="3"/>
      <c r="D1" s="3"/>
      <c r="E1" s="3"/>
      <c r="F1" s="3"/>
      <c r="G1" s="3"/>
    </row>
    <row r="2">
      <c r="A2" s="1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5" t="s">
        <v>6</v>
      </c>
      <c r="I2" s="5" t="s">
        <v>7</v>
      </c>
    </row>
    <row r="3">
      <c r="A3" s="1"/>
      <c r="B3" s="6" t="s">
        <v>8</v>
      </c>
      <c r="C3" s="6">
        <v>0.892687857151031</v>
      </c>
      <c r="D3" s="6">
        <v>0.784246563911438</v>
      </c>
      <c r="E3" s="6">
        <v>0.826923072338104</v>
      </c>
      <c r="F3" s="6">
        <v>0.857027053833007</v>
      </c>
      <c r="G3" s="6" t="s">
        <v>9</v>
      </c>
      <c r="H3" s="7">
        <v>20.0</v>
      </c>
      <c r="I3" s="7">
        <v>200.0</v>
      </c>
    </row>
    <row r="4">
      <c r="A4" s="1"/>
      <c r="B4" s="6" t="s">
        <v>10</v>
      </c>
      <c r="C4" s="6">
        <v>0.855403363704681</v>
      </c>
      <c r="D4" s="6">
        <v>0.614173233509063</v>
      </c>
      <c r="E4" s="6">
        <v>0.783185839653015</v>
      </c>
      <c r="F4" s="6">
        <v>0.742777943611145</v>
      </c>
      <c r="G4" s="6" t="s">
        <v>9</v>
      </c>
      <c r="H4" s="7">
        <v>20.0</v>
      </c>
      <c r="I4" s="7">
        <v>200.0</v>
      </c>
    </row>
    <row r="5">
      <c r="A5" s="1"/>
      <c r="B5" s="6" t="s">
        <v>11</v>
      </c>
      <c r="C5" s="6">
        <v>0.815354466438293</v>
      </c>
      <c r="D5" s="6">
        <v>0.448979586362838</v>
      </c>
      <c r="E5" s="6">
        <v>0.830188691616058</v>
      </c>
      <c r="F5" s="6">
        <v>0.685145497322082</v>
      </c>
      <c r="G5" s="6" t="s">
        <v>9</v>
      </c>
      <c r="H5" s="7">
        <v>100.0</v>
      </c>
      <c r="I5" s="7">
        <v>200.0</v>
      </c>
    </row>
    <row r="6">
      <c r="A6" s="1"/>
      <c r="B6" s="6" t="s">
        <v>12</v>
      </c>
      <c r="C6" s="6">
        <v>0.818146467208862</v>
      </c>
      <c r="D6" s="6">
        <v>0.711409389972687</v>
      </c>
      <c r="E6" s="6">
        <v>0.759776532649994</v>
      </c>
      <c r="F6" s="6">
        <v>0.71098405122757</v>
      </c>
      <c r="G6" s="6" t="s">
        <v>13</v>
      </c>
      <c r="H6" s="7">
        <v>100.0</v>
      </c>
      <c r="I6" s="7">
        <v>400.0</v>
      </c>
    </row>
    <row r="7">
      <c r="A7" s="1"/>
      <c r="B7" s="6" t="s">
        <v>14</v>
      </c>
      <c r="C7" s="6">
        <v>0.882154881954193</v>
      </c>
      <c r="D7" s="6">
        <v>0.777777791023254</v>
      </c>
      <c r="E7" s="6">
        <v>0.89473682641983</v>
      </c>
      <c r="F7" s="6">
        <v>0.851928770542144</v>
      </c>
      <c r="G7" s="6" t="s">
        <v>9</v>
      </c>
      <c r="H7" s="7">
        <v>20.0</v>
      </c>
      <c r="I7" s="7">
        <v>200.0</v>
      </c>
    </row>
    <row r="8">
      <c r="A8" s="1"/>
      <c r="B8" s="6" t="s">
        <v>15</v>
      </c>
      <c r="C8" s="6">
        <v>0.952380955219268</v>
      </c>
      <c r="D8" s="6">
        <v>0.899999976158142</v>
      </c>
      <c r="E8" s="6">
        <v>0.9200000166893</v>
      </c>
      <c r="F8" s="6">
        <v>0.953826665878295</v>
      </c>
      <c r="G8" s="6" t="s">
        <v>9</v>
      </c>
      <c r="H8" s="7">
        <v>20.0</v>
      </c>
      <c r="I8" s="7">
        <v>200.0</v>
      </c>
    </row>
    <row r="9">
      <c r="A9" s="1"/>
      <c r="B9" s="6" t="s">
        <v>16</v>
      </c>
      <c r="C9" s="8">
        <v>0.872159004211425</v>
      </c>
      <c r="D9" s="8">
        <v>0.825311958789825</v>
      </c>
      <c r="E9" s="8">
        <v>0.808031320571899</v>
      </c>
      <c r="F9" s="8">
        <v>0.864378690719604</v>
      </c>
      <c r="G9" s="6" t="s">
        <v>9</v>
      </c>
      <c r="H9" s="7">
        <v>20.0</v>
      </c>
      <c r="I9" s="7">
        <v>200.0</v>
      </c>
    </row>
    <row r="10">
      <c r="A10" s="1"/>
      <c r="B10" s="6" t="s">
        <v>17</v>
      </c>
      <c r="C10" s="6">
        <v>0.861225247383117</v>
      </c>
      <c r="D10" s="6">
        <v>0.822531402111053</v>
      </c>
      <c r="E10" s="6">
        <v>0.784773647785186</v>
      </c>
      <c r="F10" s="6">
        <v>0.896240174770355</v>
      </c>
      <c r="G10" s="6" t="s">
        <v>9</v>
      </c>
      <c r="H10" s="7">
        <v>20.0</v>
      </c>
      <c r="I10" s="7">
        <v>200.0</v>
      </c>
    </row>
    <row r="11">
      <c r="B11" s="6" t="s">
        <v>18</v>
      </c>
      <c r="C11" s="6">
        <v>0.800000011920929</v>
      </c>
      <c r="D11" s="6">
        <v>0.724137902259827</v>
      </c>
      <c r="E11" s="6">
        <v>0.74193549156189</v>
      </c>
      <c r="F11" s="6">
        <v>0.762063562870026</v>
      </c>
      <c r="G11" s="6" t="s">
        <v>9</v>
      </c>
      <c r="H11" s="7">
        <v>200.0</v>
      </c>
      <c r="I11" s="7">
        <v>100.0</v>
      </c>
    </row>
    <row r="12">
      <c r="B12" s="6" t="s">
        <v>19</v>
      </c>
      <c r="C12" s="6">
        <v>0.904</v>
      </c>
      <c r="D12" s="6">
        <v>0.864</v>
      </c>
      <c r="E12" s="6">
        <v>0.843</v>
      </c>
      <c r="F12" s="6">
        <v>0.933</v>
      </c>
      <c r="G12" s="6" t="s">
        <v>9</v>
      </c>
      <c r="H12" s="7">
        <v>20.0</v>
      </c>
      <c r="I12" s="7">
        <v>200.0</v>
      </c>
    </row>
    <row r="13">
      <c r="B13" s="9"/>
      <c r="C13" s="9"/>
      <c r="D13" s="9"/>
      <c r="E13" s="9"/>
      <c r="F13" s="9"/>
      <c r="G13" s="9"/>
    </row>
    <row r="14">
      <c r="B14" s="9"/>
      <c r="C14" s="9"/>
      <c r="D14" s="9"/>
      <c r="E14" s="9"/>
      <c r="F14" s="9"/>
      <c r="G14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4.25"/>
    <col customWidth="1" min="5" max="5" width="46.88"/>
    <col customWidth="1" min="6" max="6" width="16.13"/>
  </cols>
  <sheetData>
    <row r="1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/>
      <c r="B2" s="11" t="s">
        <v>20</v>
      </c>
      <c r="C2" s="11" t="s">
        <v>21</v>
      </c>
      <c r="D2" s="12" t="s">
        <v>22</v>
      </c>
      <c r="E2" s="13" t="s">
        <v>23</v>
      </c>
      <c r="F2" s="13" t="s">
        <v>24</v>
      </c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0"/>
      <c r="B3" s="14" t="s">
        <v>25</v>
      </c>
      <c r="C3" s="14" t="s">
        <v>26</v>
      </c>
      <c r="D3" s="15" t="s">
        <v>10</v>
      </c>
      <c r="E3" s="13" t="s">
        <v>27</v>
      </c>
      <c r="F3" s="13" t="s">
        <v>28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0"/>
      <c r="B4" s="16"/>
      <c r="C4" s="16"/>
      <c r="D4" s="15" t="s">
        <v>11</v>
      </c>
      <c r="E4" s="13" t="s">
        <v>29</v>
      </c>
      <c r="F4" s="13" t="s">
        <v>28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7"/>
      <c r="C5" s="17"/>
      <c r="D5" s="15" t="s">
        <v>12</v>
      </c>
      <c r="E5" s="13" t="s">
        <v>30</v>
      </c>
      <c r="F5" s="13" t="s">
        <v>28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8" t="s">
        <v>31</v>
      </c>
      <c r="C6" s="18" t="s">
        <v>32</v>
      </c>
      <c r="D6" s="15" t="s">
        <v>16</v>
      </c>
      <c r="E6" s="13" t="s">
        <v>33</v>
      </c>
      <c r="F6" s="13" t="s">
        <v>34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0"/>
      <c r="B7" s="18" t="s">
        <v>31</v>
      </c>
      <c r="C7" s="18" t="s">
        <v>32</v>
      </c>
      <c r="D7" s="6" t="s">
        <v>35</v>
      </c>
      <c r="E7" s="13" t="s">
        <v>36</v>
      </c>
      <c r="F7" s="19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2">
    <mergeCell ref="B3:B5"/>
    <mergeCell ref="C3:C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0"/>
      <c r="B1" s="21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>
      <c r="A2" s="22" t="s">
        <v>37</v>
      </c>
      <c r="B2" s="23" t="s">
        <v>38</v>
      </c>
      <c r="C2" s="24" t="s">
        <v>1</v>
      </c>
      <c r="D2" s="24" t="s">
        <v>2</v>
      </c>
      <c r="E2" s="24" t="s">
        <v>3</v>
      </c>
      <c r="F2" s="24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>
      <c r="A3" s="16"/>
      <c r="B3" s="25">
        <v>0.0</v>
      </c>
      <c r="C3" s="26">
        <v>0.831157982349395</v>
      </c>
      <c r="D3" s="26">
        <v>0.732519447803497</v>
      </c>
      <c r="E3" s="26">
        <v>0.763956904411315</v>
      </c>
      <c r="F3" s="26">
        <v>0.804638981819152</v>
      </c>
      <c r="G3" s="20"/>
      <c r="H3" s="27"/>
      <c r="I3" s="28" t="s">
        <v>39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>
      <c r="A4" s="16"/>
      <c r="B4" s="25">
        <v>1.0</v>
      </c>
      <c r="C4" s="26">
        <v>0.864358365535736</v>
      </c>
      <c r="D4" s="26">
        <v>0.780973434448242</v>
      </c>
      <c r="E4" s="26">
        <v>0.806072473526001</v>
      </c>
      <c r="F4" s="26">
        <v>0.852935671806335</v>
      </c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>
      <c r="A5" s="16"/>
      <c r="B5" s="25">
        <v>2.0</v>
      </c>
      <c r="C5" s="26">
        <v>0.857504308223724</v>
      </c>
      <c r="D5" s="26">
        <v>0.800000011920929</v>
      </c>
      <c r="E5" s="26">
        <v>0.790401577949523</v>
      </c>
      <c r="F5" s="26">
        <v>0.857649803161621</v>
      </c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>
      <c r="A6" s="16"/>
      <c r="B6" s="25">
        <v>3.0</v>
      </c>
      <c r="C6" s="26">
        <v>0.850842475891113</v>
      </c>
      <c r="D6" s="26">
        <v>0.793220341205596</v>
      </c>
      <c r="E6" s="26">
        <v>0.761018633842468</v>
      </c>
      <c r="F6" s="26">
        <v>0.868496417999267</v>
      </c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>
      <c r="A7" s="16"/>
      <c r="B7" s="29">
        <v>4.0</v>
      </c>
      <c r="C7" s="30">
        <v>0.872159004211425</v>
      </c>
      <c r="D7" s="30">
        <v>0.825311958789825</v>
      </c>
      <c r="E7" s="30">
        <v>0.808031320571899</v>
      </c>
      <c r="F7" s="30">
        <v>0.864378690719604</v>
      </c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>
      <c r="A8" s="16"/>
      <c r="B8" s="25" t="s">
        <v>40</v>
      </c>
      <c r="C8" s="31">
        <f t="shared" ref="C8:F8" si="1">AVERAGE(C3:C7)</f>
        <v>0.8552044272</v>
      </c>
      <c r="D8" s="31">
        <f t="shared" si="1"/>
        <v>0.7864050388</v>
      </c>
      <c r="E8" s="31">
        <f t="shared" si="1"/>
        <v>0.7858961821</v>
      </c>
      <c r="F8" s="31">
        <f t="shared" si="1"/>
        <v>0.8496199131</v>
      </c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>
      <c r="A9" s="17"/>
      <c r="B9" s="25" t="s">
        <v>41</v>
      </c>
      <c r="C9" s="31">
        <f t="shared" ref="C9:F9" si="2">STDEV(C3:C8)</f>
        <v>0.01395564295</v>
      </c>
      <c r="D9" s="31">
        <f t="shared" si="2"/>
        <v>0.03058816538</v>
      </c>
      <c r="E9" s="31">
        <f t="shared" si="2"/>
        <v>0.02008765788</v>
      </c>
      <c r="F9" s="31">
        <f t="shared" si="2"/>
        <v>0.02312099273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>
      <c r="A10" s="20"/>
      <c r="B10" s="21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>
      <c r="A11" s="22" t="s">
        <v>35</v>
      </c>
      <c r="B11" s="23" t="s">
        <v>38</v>
      </c>
      <c r="C11" s="24" t="s">
        <v>1</v>
      </c>
      <c r="D11" s="24" t="s">
        <v>2</v>
      </c>
      <c r="E11" s="24" t="s">
        <v>3</v>
      </c>
      <c r="F11" s="24" t="s">
        <v>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>
      <c r="A12" s="16"/>
      <c r="B12" s="32">
        <v>0.0</v>
      </c>
      <c r="C12" s="33">
        <v>0.851016402244568</v>
      </c>
      <c r="D12" s="33">
        <v>0.831725597381592</v>
      </c>
      <c r="E12" s="33">
        <v>0.791223406791687</v>
      </c>
      <c r="F12" s="33">
        <v>0.903328537940979</v>
      </c>
      <c r="G12" s="28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>
      <c r="A13" s="16"/>
      <c r="B13" s="34">
        <v>1.0</v>
      </c>
      <c r="C13" s="35">
        <v>0.904</v>
      </c>
      <c r="D13" s="35">
        <v>0.864</v>
      </c>
      <c r="E13" s="35">
        <v>0.843</v>
      </c>
      <c r="F13" s="35">
        <v>0.933</v>
      </c>
      <c r="G13" s="28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>
      <c r="A14" s="16"/>
      <c r="B14" s="36">
        <v>2.0</v>
      </c>
      <c r="C14" s="33">
        <v>0.900663554668427</v>
      </c>
      <c r="D14" s="33">
        <v>0.867469906806946</v>
      </c>
      <c r="E14" s="33">
        <v>0.839095771312714</v>
      </c>
      <c r="F14" s="33">
        <v>0.927850246429443</v>
      </c>
      <c r="G14" s="28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>
      <c r="A15" s="16"/>
      <c r="B15" s="36">
        <v>3.0</v>
      </c>
      <c r="C15" s="33">
        <v>0.883955717086792</v>
      </c>
      <c r="D15" s="33">
        <v>0.848812103271484</v>
      </c>
      <c r="E15" s="33">
        <v>0.813829779624939</v>
      </c>
      <c r="F15" s="33">
        <v>0.933857202529907</v>
      </c>
      <c r="G15" s="28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>
      <c r="A16" s="16"/>
      <c r="B16" s="36">
        <v>4.0</v>
      </c>
      <c r="C16" s="33">
        <v>0.873733758926392</v>
      </c>
      <c r="D16" s="33">
        <v>0.863636374473572</v>
      </c>
      <c r="E16" s="33">
        <v>0.808510661125183</v>
      </c>
      <c r="F16" s="33">
        <v>0.937569618225098</v>
      </c>
      <c r="G16" s="28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>
      <c r="A17" s="16"/>
      <c r="B17" s="25" t="s">
        <v>40</v>
      </c>
      <c r="C17" s="31">
        <f t="shared" ref="C17:F17" si="3">AVERAGE(C12:C16)</f>
        <v>0.8826738866</v>
      </c>
      <c r="D17" s="31">
        <f t="shared" si="3"/>
        <v>0.8551287964</v>
      </c>
      <c r="E17" s="31">
        <f t="shared" si="3"/>
        <v>0.8191319238</v>
      </c>
      <c r="F17" s="31">
        <f t="shared" si="3"/>
        <v>0.927121121</v>
      </c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>
      <c r="A18" s="17"/>
      <c r="B18" s="25" t="s">
        <v>41</v>
      </c>
      <c r="C18" s="31">
        <f t="shared" ref="C18:F18" si="4">STDEV(C12:C17)</f>
        <v>0.01929868678</v>
      </c>
      <c r="D18" s="31">
        <f t="shared" si="4"/>
        <v>0.01334908596</v>
      </c>
      <c r="E18" s="31">
        <f t="shared" si="4"/>
        <v>0.01943218744</v>
      </c>
      <c r="F18" s="31">
        <f t="shared" si="4"/>
        <v>0.01229411029</v>
      </c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>
      <c r="B19" s="21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>
      <c r="A20" s="22" t="s">
        <v>17</v>
      </c>
      <c r="B20" s="23" t="s">
        <v>38</v>
      </c>
      <c r="C20" s="24" t="s">
        <v>1</v>
      </c>
      <c r="D20" s="24" t="s">
        <v>2</v>
      </c>
      <c r="E20" s="24" t="s">
        <v>3</v>
      </c>
      <c r="F20" s="24" t="s">
        <v>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>
      <c r="A21" s="16"/>
      <c r="B21" s="37">
        <v>0.0</v>
      </c>
      <c r="C21" s="38">
        <v>0.855693161487579</v>
      </c>
      <c r="D21" s="38">
        <v>0.818280756473541</v>
      </c>
      <c r="E21" s="38">
        <v>0.793827176094055</v>
      </c>
      <c r="F21" s="38">
        <v>0.892091333866119</v>
      </c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>
      <c r="A22" s="16"/>
      <c r="B22" s="37">
        <v>1.0</v>
      </c>
      <c r="C22" s="38">
        <v>0.819225072860717</v>
      </c>
      <c r="D22" s="38">
        <v>0.776503324508667</v>
      </c>
      <c r="E22" s="38">
        <v>0.735390961170196</v>
      </c>
      <c r="F22" s="38">
        <v>0.86880075931549</v>
      </c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>
      <c r="A23" s="16"/>
      <c r="B23" s="39">
        <v>2.0</v>
      </c>
      <c r="C23" s="40">
        <v>0.861225247383117</v>
      </c>
      <c r="D23" s="40">
        <v>0.822531402111053</v>
      </c>
      <c r="E23" s="40">
        <v>0.784773647785186</v>
      </c>
      <c r="F23" s="40">
        <v>0.896240174770355</v>
      </c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>
      <c r="A24" s="16"/>
      <c r="B24" s="37">
        <v>3.0</v>
      </c>
      <c r="C24" s="38">
        <v>0.84913432598114</v>
      </c>
      <c r="D24" s="38">
        <v>0.807132482528686</v>
      </c>
      <c r="E24" s="38">
        <v>0.781893014907836</v>
      </c>
      <c r="F24" s="38">
        <v>0.870687127113342</v>
      </c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>
      <c r="A25" s="16"/>
      <c r="B25" s="37">
        <v>4.0</v>
      </c>
      <c r="C25" s="38">
        <v>0.857678353786468</v>
      </c>
      <c r="D25" s="38">
        <v>0.796005725860595</v>
      </c>
      <c r="E25" s="38">
        <v>0.764609038829803</v>
      </c>
      <c r="F25" s="38">
        <v>0.895094573497772</v>
      </c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>
      <c r="A26" s="16"/>
      <c r="B26" s="25" t="s">
        <v>40</v>
      </c>
      <c r="C26" s="31">
        <f t="shared" ref="C26:F26" si="5">AVERAGE(C21:C25)</f>
        <v>0.8485912323</v>
      </c>
      <c r="D26" s="31">
        <f t="shared" si="5"/>
        <v>0.8040907383</v>
      </c>
      <c r="E26" s="31">
        <f t="shared" si="5"/>
        <v>0.7720987678</v>
      </c>
      <c r="F26" s="31">
        <f t="shared" si="5"/>
        <v>0.8845827937</v>
      </c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>
      <c r="A27" s="17"/>
      <c r="B27" s="25" t="s">
        <v>41</v>
      </c>
      <c r="C27" s="31">
        <f t="shared" ref="C27:F27" si="6">STDEV(C21:C26)</f>
        <v>0.0152006433</v>
      </c>
      <c r="D27" s="31">
        <f t="shared" si="6"/>
        <v>0.01659578098</v>
      </c>
      <c r="E27" s="31">
        <f t="shared" si="6"/>
        <v>0.02065072732</v>
      </c>
      <c r="F27" s="31">
        <f t="shared" si="6"/>
        <v>0.01220600166</v>
      </c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>
      <c r="A28" s="20"/>
      <c r="B28" s="21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>
      <c r="A29" s="22" t="s">
        <v>42</v>
      </c>
      <c r="B29" s="23" t="s">
        <v>38</v>
      </c>
      <c r="C29" s="24" t="s">
        <v>1</v>
      </c>
      <c r="D29" s="24" t="s">
        <v>2</v>
      </c>
      <c r="E29" s="24" t="s">
        <v>3</v>
      </c>
      <c r="F29" s="24" t="s">
        <v>4</v>
      </c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>
      <c r="A30" s="16"/>
      <c r="B30" s="41">
        <v>0.0</v>
      </c>
      <c r="C30" s="26">
        <v>0.903119921684265</v>
      </c>
      <c r="D30" s="26">
        <v>0.826086938381195</v>
      </c>
      <c r="E30" s="26">
        <v>0.839999973773956</v>
      </c>
      <c r="F30" s="26">
        <v>0.895573019981384</v>
      </c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>
      <c r="A31" s="16"/>
      <c r="B31" s="41">
        <v>1.0</v>
      </c>
      <c r="C31" s="26">
        <v>0.859180092811584</v>
      </c>
      <c r="D31" s="26">
        <v>0.722222208976745</v>
      </c>
      <c r="E31" s="26">
        <v>0.800000011920929</v>
      </c>
      <c r="F31" s="26">
        <v>0.856259167194366</v>
      </c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>
      <c r="A32" s="16"/>
      <c r="B32" s="41">
        <v>2.0</v>
      </c>
      <c r="C32" s="26">
        <v>0.902777791023254</v>
      </c>
      <c r="D32" s="26">
        <v>0.592592597007751</v>
      </c>
      <c r="E32" s="26">
        <v>0.77999997138977</v>
      </c>
      <c r="F32" s="26">
        <v>0.841893315315246</v>
      </c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>
      <c r="A33" s="16"/>
      <c r="B33" s="41">
        <v>3.0</v>
      </c>
      <c r="C33" s="26">
        <v>0.80952376127243</v>
      </c>
      <c r="D33" s="26">
        <v>0.666666686534881</v>
      </c>
      <c r="E33" s="26">
        <v>0.800000011920929</v>
      </c>
      <c r="F33" s="26">
        <v>0.704304635524749</v>
      </c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>
      <c r="A34" s="16"/>
      <c r="B34" s="42">
        <v>4.0</v>
      </c>
      <c r="C34" s="30">
        <v>0.952380955219268</v>
      </c>
      <c r="D34" s="30">
        <v>0.899999976158142</v>
      </c>
      <c r="E34" s="30">
        <v>0.9200000166893</v>
      </c>
      <c r="F34" s="30">
        <v>0.953826665878295</v>
      </c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>
      <c r="A35" s="16"/>
      <c r="B35" s="43" t="s">
        <v>40</v>
      </c>
      <c r="C35" s="31">
        <f t="shared" ref="C35:F35" si="7">AVERAGE(C30:C34)</f>
        <v>0.8853965044</v>
      </c>
      <c r="D35" s="31">
        <f t="shared" si="7"/>
        <v>0.7415136814</v>
      </c>
      <c r="E35" s="31">
        <f t="shared" si="7"/>
        <v>0.8279999971</v>
      </c>
      <c r="F35" s="31">
        <f t="shared" si="7"/>
        <v>0.8503713608</v>
      </c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>
      <c r="A36" s="17"/>
      <c r="B36" s="43" t="s">
        <v>41</v>
      </c>
      <c r="C36" s="31">
        <f t="shared" ref="C36:F36" si="8">STDEV(C30:C35)</f>
        <v>0.04805646405</v>
      </c>
      <c r="D36" s="31">
        <f t="shared" si="8"/>
        <v>0.1099293085</v>
      </c>
      <c r="E36" s="31">
        <f t="shared" si="8"/>
        <v>0.0499599917</v>
      </c>
      <c r="F36" s="31">
        <f t="shared" si="8"/>
        <v>0.08269005006</v>
      </c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>
      <c r="A37" s="20"/>
      <c r="B37" s="21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>
      <c r="A38" s="20"/>
      <c r="B38" s="37"/>
      <c r="C38" s="38"/>
      <c r="D38" s="38"/>
      <c r="E38" s="38"/>
      <c r="F38" s="38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>
      <c r="A39" s="22" t="s">
        <v>43</v>
      </c>
      <c r="B39" s="23" t="s">
        <v>38</v>
      </c>
      <c r="C39" s="24" t="s">
        <v>1</v>
      </c>
      <c r="D39" s="24" t="s">
        <v>2</v>
      </c>
      <c r="E39" s="24" t="s">
        <v>3</v>
      </c>
      <c r="F39" s="24" t="s">
        <v>4</v>
      </c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>
      <c r="A40" s="16"/>
      <c r="B40" s="41">
        <v>0.0</v>
      </c>
      <c r="C40" s="26">
        <v>0.826923072338104</v>
      </c>
      <c r="D40" s="26">
        <v>0.555555582046508</v>
      </c>
      <c r="E40" s="26">
        <v>0.789473712444305</v>
      </c>
      <c r="F40" s="26">
        <v>0.776615500450134</v>
      </c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>
      <c r="A41" s="16"/>
      <c r="B41" s="41">
        <v>1.0</v>
      </c>
      <c r="C41" s="26">
        <v>0.751152038574218</v>
      </c>
      <c r="D41" s="26">
        <v>0.571428596973419</v>
      </c>
      <c r="E41" s="26">
        <v>0.842105269432067</v>
      </c>
      <c r="F41" s="26">
        <v>0.662632763385772</v>
      </c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>
      <c r="A42" s="16"/>
      <c r="B42" s="41">
        <v>2.0</v>
      </c>
      <c r="C42" s="26">
        <v>0.645161271095275</v>
      </c>
      <c r="D42" s="26">
        <v>0.0</v>
      </c>
      <c r="E42" s="26">
        <v>0.815789461135864</v>
      </c>
      <c r="F42" s="26">
        <v>0.221702486276626</v>
      </c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>
      <c r="A43" s="16"/>
      <c r="B43" s="44">
        <v>3.0</v>
      </c>
      <c r="C43" s="30">
        <v>0.882154881954193</v>
      </c>
      <c r="D43" s="30">
        <v>0.777777791023254</v>
      </c>
      <c r="E43" s="30">
        <v>0.89473682641983</v>
      </c>
      <c r="F43" s="30">
        <v>0.851928770542144</v>
      </c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>
      <c r="A44" s="16"/>
      <c r="B44" s="41">
        <v>4.0</v>
      </c>
      <c r="C44" s="26">
        <v>0.800000071525573</v>
      </c>
      <c r="D44" s="26">
        <v>0.699999988079071</v>
      </c>
      <c r="E44" s="26">
        <v>0.842105269432067</v>
      </c>
      <c r="F44" s="26">
        <v>0.404822051525115</v>
      </c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>
      <c r="A45" s="16"/>
      <c r="B45" s="43" t="s">
        <v>40</v>
      </c>
      <c r="C45" s="31">
        <f t="shared" ref="C45:F45" si="9">AVERAGE(C40:C44)</f>
        <v>0.7810782671</v>
      </c>
      <c r="D45" s="31">
        <f t="shared" si="9"/>
        <v>0.5209523916</v>
      </c>
      <c r="E45" s="31">
        <f t="shared" si="9"/>
        <v>0.8368421078</v>
      </c>
      <c r="F45" s="31">
        <f t="shared" si="9"/>
        <v>0.5835403144</v>
      </c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>
      <c r="A46" s="17"/>
      <c r="B46" s="43" t="s">
        <v>41</v>
      </c>
      <c r="C46" s="31">
        <f t="shared" ref="C46:F46" si="10">STDEV(C40:C45)</f>
        <v>0.08005656985</v>
      </c>
      <c r="D46" s="31">
        <f t="shared" si="10"/>
        <v>0.273186365</v>
      </c>
      <c r="E46" s="31">
        <f t="shared" si="10"/>
        <v>0.03491182893</v>
      </c>
      <c r="F46" s="31">
        <f t="shared" si="10"/>
        <v>0.2359800151</v>
      </c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>
      <c r="A47" s="20"/>
      <c r="B47" s="21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>
      <c r="A48" s="20"/>
      <c r="B48" s="21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>
      <c r="A49" s="22" t="s">
        <v>44</v>
      </c>
      <c r="B49" s="23" t="s">
        <v>38</v>
      </c>
      <c r="C49" s="24" t="s">
        <v>1</v>
      </c>
      <c r="D49" s="24" t="s">
        <v>2</v>
      </c>
      <c r="E49" s="24" t="s">
        <v>3</v>
      </c>
      <c r="F49" s="24" t="s">
        <v>4</v>
      </c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>
      <c r="A50" s="16"/>
      <c r="B50" s="45">
        <v>0.0</v>
      </c>
      <c r="C50" s="46">
        <v>0.892687857151031</v>
      </c>
      <c r="D50" s="46">
        <v>0.784246563911438</v>
      </c>
      <c r="E50" s="46">
        <v>0.826923072338104</v>
      </c>
      <c r="F50" s="46">
        <v>0.857027053833007</v>
      </c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>
      <c r="A51" s="16"/>
      <c r="B51" s="37">
        <v>1.0</v>
      </c>
      <c r="C51" s="38">
        <v>0.873192071914672</v>
      </c>
      <c r="D51" s="38">
        <v>0.686813175678253</v>
      </c>
      <c r="E51" s="38">
        <v>0.843406617641449</v>
      </c>
      <c r="F51" s="38">
        <v>0.787493288516998</v>
      </c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>
      <c r="A52" s="16"/>
      <c r="B52" s="37">
        <v>2.0</v>
      </c>
      <c r="C52" s="38">
        <v>0.889535129070282</v>
      </c>
      <c r="D52" s="38">
        <v>0.725995302200317</v>
      </c>
      <c r="E52" s="38">
        <v>0.839285731315612</v>
      </c>
      <c r="F52" s="38">
        <v>0.796374022960662</v>
      </c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>
      <c r="A53" s="16"/>
      <c r="B53" s="37">
        <v>3.0</v>
      </c>
      <c r="C53" s="38">
        <v>0.879616379737854</v>
      </c>
      <c r="D53" s="38">
        <v>0.712962985038757</v>
      </c>
      <c r="E53" s="38">
        <v>0.829670310020446</v>
      </c>
      <c r="F53" s="38">
        <v>0.807649850845336</v>
      </c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>
      <c r="A54" s="16"/>
      <c r="B54" s="37">
        <v>4.0</v>
      </c>
      <c r="C54" s="38">
        <v>0.841758370399475</v>
      </c>
      <c r="D54" s="38">
        <v>0.682577550411224</v>
      </c>
      <c r="E54" s="38">
        <v>0.817307710647583</v>
      </c>
      <c r="F54" s="38">
        <v>0.781374394893646</v>
      </c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>
      <c r="A55" s="16"/>
      <c r="B55" s="43" t="s">
        <v>40</v>
      </c>
      <c r="C55" s="31">
        <f t="shared" ref="C55:F55" si="11">AVERAGE(C50:C54)</f>
        <v>0.8753579617</v>
      </c>
      <c r="D55" s="31">
        <f t="shared" si="11"/>
        <v>0.7185191154</v>
      </c>
      <c r="E55" s="31">
        <f t="shared" si="11"/>
        <v>0.8313186884</v>
      </c>
      <c r="F55" s="31">
        <f t="shared" si="11"/>
        <v>0.8059837222</v>
      </c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>
      <c r="A56" s="17"/>
      <c r="B56" s="43" t="s">
        <v>41</v>
      </c>
      <c r="C56" s="31">
        <f t="shared" ref="C56:F56" si="12">STDEV(C50:C55)</f>
        <v>0.01818282205</v>
      </c>
      <c r="D56" s="31">
        <f t="shared" si="12"/>
        <v>0.03661672882</v>
      </c>
      <c r="E56" s="31">
        <f t="shared" si="12"/>
        <v>0.009251355529</v>
      </c>
      <c r="F56" s="31">
        <f t="shared" si="12"/>
        <v>0.02701132776</v>
      </c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>
      <c r="A57" s="20"/>
      <c r="B57" s="21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>
      <c r="A58" s="20"/>
      <c r="B58" s="21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>
      <c r="A59" s="22" t="s">
        <v>45</v>
      </c>
      <c r="B59" s="23" t="s">
        <v>38</v>
      </c>
      <c r="C59" s="24" t="s">
        <v>1</v>
      </c>
      <c r="D59" s="24" t="s">
        <v>2</v>
      </c>
      <c r="E59" s="24" t="s">
        <v>3</v>
      </c>
      <c r="F59" s="24" t="s">
        <v>4</v>
      </c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>
      <c r="A60" s="16"/>
      <c r="B60" s="47">
        <v>0.0</v>
      </c>
      <c r="C60" s="48">
        <v>0.855403363704681</v>
      </c>
      <c r="D60" s="48">
        <v>0.614173233509063</v>
      </c>
      <c r="E60" s="48">
        <v>0.783185839653015</v>
      </c>
      <c r="F60" s="48">
        <v>0.742777943611145</v>
      </c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>
      <c r="A61" s="16"/>
      <c r="B61" s="37">
        <v>1.0</v>
      </c>
      <c r="C61" s="38">
        <v>0.853625535964965</v>
      </c>
      <c r="D61" s="38">
        <v>0.621212124824523</v>
      </c>
      <c r="E61" s="38">
        <v>0.778761088848114</v>
      </c>
      <c r="F61" s="38">
        <v>0.712100267410278</v>
      </c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>
      <c r="A62" s="16"/>
      <c r="B62" s="37">
        <v>2.0</v>
      </c>
      <c r="C62" s="38">
        <v>0.822245299816131</v>
      </c>
      <c r="D62" s="38">
        <v>0.604316532611846</v>
      </c>
      <c r="E62" s="38">
        <v>0.756637156009674</v>
      </c>
      <c r="F62" s="38">
        <v>0.654867529869079</v>
      </c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>
      <c r="A63" s="16"/>
      <c r="B63" s="37">
        <v>3.0</v>
      </c>
      <c r="C63" s="38">
        <v>0.810680568218231</v>
      </c>
      <c r="D63" s="38">
        <v>0.573529422283172</v>
      </c>
      <c r="E63" s="38">
        <v>0.743362843990325</v>
      </c>
      <c r="F63" s="38">
        <v>0.558774411678314</v>
      </c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>
      <c r="A64" s="16"/>
      <c r="B64" s="37">
        <v>4.0</v>
      </c>
      <c r="C64" s="38">
        <v>0.743009030818939</v>
      </c>
      <c r="D64" s="38">
        <v>0.496644288301467</v>
      </c>
      <c r="E64" s="38">
        <v>0.668141603469848</v>
      </c>
      <c r="F64" s="38">
        <v>0.395759969949722</v>
      </c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>
      <c r="A65" s="16"/>
      <c r="B65" s="43" t="s">
        <v>40</v>
      </c>
      <c r="C65" s="31">
        <f t="shared" ref="C65:F65" si="13">AVERAGE(C60:C64)</f>
        <v>0.8169927597</v>
      </c>
      <c r="D65" s="31">
        <f t="shared" si="13"/>
        <v>0.5819751203</v>
      </c>
      <c r="E65" s="31">
        <f t="shared" si="13"/>
        <v>0.7460177064</v>
      </c>
      <c r="F65" s="31">
        <f t="shared" si="13"/>
        <v>0.6128560245</v>
      </c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>
      <c r="A66" s="17"/>
      <c r="B66" s="43" t="s">
        <v>41</v>
      </c>
      <c r="C66" s="31">
        <f t="shared" ref="C66:F66" si="14">STDEV(C60:C65)</f>
        <v>0.04088608535</v>
      </c>
      <c r="D66" s="31">
        <f t="shared" si="14"/>
        <v>0.04566854591</v>
      </c>
      <c r="E66" s="31">
        <f t="shared" si="14"/>
        <v>0.04156466681</v>
      </c>
      <c r="F66" s="31">
        <f t="shared" si="14"/>
        <v>0.125339227</v>
      </c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>
      <c r="A67" s="20"/>
      <c r="B67" s="21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>
      <c r="A68" s="20"/>
      <c r="B68" s="21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>
      <c r="A69" s="22" t="s">
        <v>46</v>
      </c>
      <c r="B69" s="23" t="s">
        <v>38</v>
      </c>
      <c r="C69" s="24" t="s">
        <v>1</v>
      </c>
      <c r="D69" s="24" t="s">
        <v>2</v>
      </c>
      <c r="E69" s="24" t="s">
        <v>3</v>
      </c>
      <c r="F69" s="24" t="s">
        <v>4</v>
      </c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>
      <c r="A70" s="16"/>
      <c r="B70" s="39">
        <v>0.0</v>
      </c>
      <c r="C70" s="40">
        <v>0.815354466438293</v>
      </c>
      <c r="D70" s="40">
        <v>0.448979586362838</v>
      </c>
      <c r="E70" s="40">
        <v>0.830188691616058</v>
      </c>
      <c r="F70" s="40">
        <v>0.685145497322082</v>
      </c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>
      <c r="A71" s="16"/>
      <c r="B71" s="37">
        <v>1.0</v>
      </c>
      <c r="C71" s="38">
        <v>0.62974464893341</v>
      </c>
      <c r="D71" s="38">
        <v>0.0</v>
      </c>
      <c r="E71" s="38">
        <v>0.867924511432647</v>
      </c>
      <c r="F71" s="38">
        <v>0.201806664466857</v>
      </c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>
      <c r="A72" s="16"/>
      <c r="B72" s="37">
        <v>2.0</v>
      </c>
      <c r="C72" s="38">
        <v>0.744941234588623</v>
      </c>
      <c r="D72" s="38">
        <v>0.0571428574621677</v>
      </c>
      <c r="E72" s="38">
        <v>0.792452812194824</v>
      </c>
      <c r="F72" s="38">
        <v>0.478635311126709</v>
      </c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>
      <c r="A73" s="16"/>
      <c r="B73" s="37">
        <v>3.0</v>
      </c>
      <c r="C73" s="38">
        <v>0.870531380176544</v>
      </c>
      <c r="D73" s="38">
        <v>0.0</v>
      </c>
      <c r="E73" s="38">
        <v>0.566037714481353</v>
      </c>
      <c r="F73" s="38">
        <v>0.861364543437957</v>
      </c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>
      <c r="A74" s="16"/>
      <c r="B74" s="37">
        <v>4.0</v>
      </c>
      <c r="C74" s="38">
        <v>0.653554260730743</v>
      </c>
      <c r="D74" s="38">
        <v>0.0</v>
      </c>
      <c r="E74" s="38">
        <v>0.867924511432647</v>
      </c>
      <c r="F74" s="38">
        <v>0.185034677386283</v>
      </c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>
      <c r="A75" s="16"/>
      <c r="B75" s="43" t="s">
        <v>40</v>
      </c>
      <c r="C75" s="31">
        <f t="shared" ref="C75:F75" si="15">AVERAGE(C70:C74)</f>
        <v>0.7428251982</v>
      </c>
      <c r="D75" s="31">
        <f t="shared" si="15"/>
        <v>0.1012244888</v>
      </c>
      <c r="E75" s="31">
        <f t="shared" si="15"/>
        <v>0.7849056482</v>
      </c>
      <c r="F75" s="31">
        <f t="shared" si="15"/>
        <v>0.4823973387</v>
      </c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>
      <c r="A76" s="17"/>
      <c r="B76" s="43" t="s">
        <v>41</v>
      </c>
      <c r="C76" s="31">
        <f t="shared" ref="C76:F76" si="16">STDEV(C70:C75)</f>
        <v>0.09201125168</v>
      </c>
      <c r="D76" s="31">
        <f t="shared" si="16"/>
        <v>0.1752803409</v>
      </c>
      <c r="E76" s="31">
        <f t="shared" si="16"/>
        <v>0.1129556988</v>
      </c>
      <c r="F76" s="31">
        <f t="shared" si="16"/>
        <v>0.2652895738</v>
      </c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>
      <c r="A77" s="20"/>
      <c r="B77" s="21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>
      <c r="A78" s="20"/>
      <c r="B78" s="21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>
      <c r="A79" s="22" t="s">
        <v>47</v>
      </c>
      <c r="B79" s="23" t="s">
        <v>38</v>
      </c>
      <c r="C79" s="24" t="s">
        <v>1</v>
      </c>
      <c r="D79" s="24" t="s">
        <v>2</v>
      </c>
      <c r="E79" s="24" t="s">
        <v>3</v>
      </c>
      <c r="F79" s="24" t="s">
        <v>4</v>
      </c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>
      <c r="A80" s="16"/>
      <c r="B80" s="49">
        <v>0.0</v>
      </c>
      <c r="C80" s="28">
        <v>0.573466837406158</v>
      </c>
      <c r="D80" s="28">
        <v>0.270270258188248</v>
      </c>
      <c r="E80" s="28">
        <v>0.547486007213593</v>
      </c>
      <c r="F80" s="28">
        <v>0.56078976392746</v>
      </c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>
      <c r="A81" s="16"/>
      <c r="B81" s="49">
        <v>1.0</v>
      </c>
      <c r="C81" s="28">
        <v>0.752903640270233</v>
      </c>
      <c r="D81" s="28">
        <v>0.638655483722687</v>
      </c>
      <c r="E81" s="28">
        <v>0.759776532649994</v>
      </c>
      <c r="F81" s="28">
        <v>0.638137996196747</v>
      </c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>
      <c r="A82" s="16"/>
      <c r="B82" s="49">
        <v>2.0</v>
      </c>
      <c r="C82" s="28">
        <v>0.496152758598328</v>
      </c>
      <c r="D82" s="28">
        <v>0.358974367380142</v>
      </c>
      <c r="E82" s="28">
        <v>0.441340774297714</v>
      </c>
      <c r="F82" s="28">
        <v>0.373483389616013</v>
      </c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>
      <c r="A83" s="16"/>
      <c r="B83" s="49">
        <v>3.0</v>
      </c>
      <c r="C83" s="28">
        <v>0.607142806053162</v>
      </c>
      <c r="D83" s="28">
        <v>0.0327868834137917</v>
      </c>
      <c r="E83" s="28">
        <v>0.670391082763672</v>
      </c>
      <c r="F83" s="28">
        <v>0.529770851135254</v>
      </c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>
      <c r="A84" s="16"/>
      <c r="B84" s="50">
        <v>4.0</v>
      </c>
      <c r="C84" s="51">
        <v>0.818146467208862</v>
      </c>
      <c r="D84" s="51">
        <v>0.711409389972687</v>
      </c>
      <c r="E84" s="51">
        <v>0.759776532649994</v>
      </c>
      <c r="F84" s="51">
        <v>0.71098405122757</v>
      </c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>
      <c r="A85" s="16"/>
      <c r="B85" s="43" t="s">
        <v>40</v>
      </c>
      <c r="C85" s="31">
        <f t="shared" ref="C85:F85" si="17">AVERAGE(C80:C84)</f>
        <v>0.6495625019</v>
      </c>
      <c r="D85" s="31">
        <f t="shared" si="17"/>
        <v>0.4024192765</v>
      </c>
      <c r="E85" s="31">
        <f t="shared" si="17"/>
        <v>0.6357541859</v>
      </c>
      <c r="F85" s="31">
        <f t="shared" si="17"/>
        <v>0.5626332104</v>
      </c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>
      <c r="A86" s="17"/>
      <c r="B86" s="43" t="s">
        <v>41</v>
      </c>
      <c r="C86" s="31">
        <f t="shared" ref="C86:F86" si="18">STDEV(C80:C85)</f>
        <v>0.1185111592</v>
      </c>
      <c r="D86" s="31">
        <f t="shared" si="18"/>
        <v>0.2478956898</v>
      </c>
      <c r="E86" s="31">
        <f t="shared" si="18"/>
        <v>0.1245396689</v>
      </c>
      <c r="F86" s="31">
        <f t="shared" si="18"/>
        <v>0.1136397222</v>
      </c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>
      <c r="A87" s="20"/>
      <c r="B87" s="21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>
      <c r="A88" s="20"/>
      <c r="B88" s="21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>
      <c r="A89" s="20"/>
      <c r="B89" s="21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>
      <c r="A90" s="20"/>
      <c r="B90" s="21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>
      <c r="A91" s="20"/>
      <c r="B91" s="21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>
      <c r="A92" s="20"/>
      <c r="B92" s="21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>
      <c r="A93" s="20"/>
      <c r="B93" s="21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>
      <c r="A94" s="20"/>
      <c r="B94" s="21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>
      <c r="A95" s="20"/>
      <c r="B95" s="21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>
      <c r="A96" s="20"/>
      <c r="B96" s="21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>
      <c r="A97" s="20"/>
      <c r="B97" s="21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>
      <c r="A98" s="20"/>
      <c r="B98" s="21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>
      <c r="A99" s="20"/>
      <c r="B99" s="21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>
      <c r="A100" s="20"/>
      <c r="B100" s="21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>
      <c r="A101" s="20"/>
      <c r="B101" s="21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>
      <c r="A102" s="20"/>
      <c r="B102" s="21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>
      <c r="A103" s="20"/>
      <c r="B103" s="21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>
      <c r="A104" s="20"/>
      <c r="B104" s="21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>
      <c r="A105" s="20"/>
      <c r="B105" s="21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>
      <c r="A106" s="20"/>
      <c r="B106" s="21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>
      <c r="A107" s="20"/>
      <c r="B107" s="21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>
      <c r="A108" s="20"/>
      <c r="B108" s="21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>
      <c r="A109" s="20"/>
      <c r="B109" s="21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>
      <c r="A110" s="20"/>
      <c r="B110" s="21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>
      <c r="A111" s="20"/>
      <c r="B111" s="21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>
      <c r="A112" s="20"/>
      <c r="B112" s="21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>
      <c r="A113" s="20"/>
      <c r="B113" s="21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>
      <c r="A114" s="20"/>
      <c r="B114" s="21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>
      <c r="A115" s="20"/>
      <c r="B115" s="21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>
      <c r="A116" s="20"/>
      <c r="B116" s="21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>
      <c r="A117" s="20"/>
      <c r="B117" s="21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>
      <c r="A118" s="20"/>
      <c r="B118" s="21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>
      <c r="A119" s="20"/>
      <c r="B119" s="21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>
      <c r="A120" s="20"/>
      <c r="B120" s="21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>
      <c r="A121" s="20"/>
      <c r="B121" s="21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>
      <c r="A122" s="20"/>
      <c r="B122" s="21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>
      <c r="A123" s="20"/>
      <c r="B123" s="21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>
      <c r="A124" s="20"/>
      <c r="B124" s="21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>
      <c r="A125" s="20"/>
      <c r="B125" s="21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>
      <c r="A126" s="20"/>
      <c r="B126" s="21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>
      <c r="A127" s="20"/>
      <c r="B127" s="21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>
      <c r="A128" s="20"/>
      <c r="B128" s="21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>
      <c r="A129" s="20"/>
      <c r="B129" s="21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>
      <c r="A130" s="20"/>
      <c r="B130" s="21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>
      <c r="A131" s="20"/>
      <c r="B131" s="21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>
      <c r="A132" s="20"/>
      <c r="B132" s="21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>
      <c r="A133" s="20"/>
      <c r="B133" s="21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>
      <c r="A134" s="20"/>
      <c r="B134" s="21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>
      <c r="A135" s="20"/>
      <c r="B135" s="21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>
      <c r="A136" s="20"/>
      <c r="B136" s="21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>
      <c r="A137" s="20"/>
      <c r="B137" s="21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>
      <c r="A138" s="20"/>
      <c r="B138" s="21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>
      <c r="A139" s="20"/>
      <c r="B139" s="21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>
      <c r="A140" s="20"/>
      <c r="B140" s="21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>
      <c r="A141" s="20"/>
      <c r="B141" s="21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>
      <c r="A142" s="20"/>
      <c r="B142" s="21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>
      <c r="A143" s="20"/>
      <c r="B143" s="21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>
      <c r="A144" s="20"/>
      <c r="B144" s="21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>
      <c r="A145" s="20"/>
      <c r="B145" s="21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>
      <c r="A146" s="20"/>
      <c r="B146" s="21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>
      <c r="A147" s="20"/>
      <c r="B147" s="21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>
      <c r="A148" s="20"/>
      <c r="B148" s="21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>
      <c r="A149" s="20"/>
      <c r="B149" s="21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>
      <c r="A150" s="20"/>
      <c r="B150" s="21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>
      <c r="A151" s="20"/>
      <c r="B151" s="21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>
      <c r="A152" s="20"/>
      <c r="B152" s="21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>
      <c r="A153" s="20"/>
      <c r="B153" s="21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>
      <c r="A154" s="20"/>
      <c r="B154" s="21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>
      <c r="A155" s="20"/>
      <c r="B155" s="21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>
      <c r="A156" s="20"/>
      <c r="B156" s="21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>
      <c r="A157" s="20"/>
      <c r="B157" s="21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>
      <c r="A158" s="20"/>
      <c r="B158" s="21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>
      <c r="A159" s="20"/>
      <c r="B159" s="21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>
      <c r="A160" s="20"/>
      <c r="B160" s="21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>
      <c r="A161" s="20"/>
      <c r="B161" s="21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>
      <c r="A162" s="20"/>
      <c r="B162" s="21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>
      <c r="A163" s="20"/>
      <c r="B163" s="21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>
      <c r="A164" s="20"/>
      <c r="B164" s="21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>
      <c r="A165" s="20"/>
      <c r="B165" s="21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>
      <c r="A166" s="20"/>
      <c r="B166" s="21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>
      <c r="A167" s="20"/>
      <c r="B167" s="21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>
      <c r="A168" s="20"/>
      <c r="B168" s="21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>
      <c r="A169" s="20"/>
      <c r="B169" s="21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>
      <c r="A170" s="20"/>
      <c r="B170" s="21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>
      <c r="A171" s="20"/>
      <c r="B171" s="21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>
      <c r="A172" s="20"/>
      <c r="B172" s="21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>
      <c r="A173" s="20"/>
      <c r="B173" s="21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>
      <c r="A174" s="20"/>
      <c r="B174" s="21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>
      <c r="A175" s="20"/>
      <c r="B175" s="21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>
      <c r="A176" s="20"/>
      <c r="B176" s="21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>
      <c r="A177" s="20"/>
      <c r="B177" s="21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>
      <c r="A178" s="20"/>
      <c r="B178" s="21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>
      <c r="A179" s="20"/>
      <c r="B179" s="21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>
      <c r="A180" s="20"/>
      <c r="B180" s="21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>
      <c r="A181" s="20"/>
      <c r="B181" s="21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>
      <c r="A182" s="20"/>
      <c r="B182" s="21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>
      <c r="A183" s="20"/>
      <c r="B183" s="21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>
      <c r="A184" s="20"/>
      <c r="B184" s="21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>
      <c r="A185" s="20"/>
      <c r="B185" s="21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>
      <c r="A186" s="20"/>
      <c r="B186" s="21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>
      <c r="A187" s="20"/>
      <c r="B187" s="21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>
      <c r="A188" s="20"/>
      <c r="B188" s="21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>
      <c r="A189" s="20"/>
      <c r="B189" s="21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>
      <c r="A190" s="20"/>
      <c r="B190" s="21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>
      <c r="A191" s="20"/>
      <c r="B191" s="21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>
      <c r="A192" s="20"/>
      <c r="B192" s="21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>
      <c r="A193" s="20"/>
      <c r="B193" s="21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>
      <c r="A194" s="20"/>
      <c r="B194" s="21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>
      <c r="A195" s="20"/>
      <c r="B195" s="21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>
      <c r="A196" s="20"/>
      <c r="B196" s="21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>
      <c r="A197" s="20"/>
      <c r="B197" s="21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>
      <c r="A198" s="20"/>
      <c r="B198" s="21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>
      <c r="A199" s="20"/>
      <c r="B199" s="21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>
      <c r="A200" s="20"/>
      <c r="B200" s="21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>
      <c r="A201" s="20"/>
      <c r="B201" s="21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>
      <c r="A202" s="20"/>
      <c r="B202" s="21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>
      <c r="A203" s="20"/>
      <c r="B203" s="21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>
      <c r="A204" s="20"/>
      <c r="B204" s="21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>
      <c r="A205" s="20"/>
      <c r="B205" s="21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>
      <c r="A206" s="20"/>
      <c r="B206" s="21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>
      <c r="A207" s="20"/>
      <c r="B207" s="21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>
      <c r="A208" s="20"/>
      <c r="B208" s="21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>
      <c r="A209" s="20"/>
      <c r="B209" s="21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>
      <c r="A210" s="20"/>
      <c r="B210" s="21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>
      <c r="A211" s="20"/>
      <c r="B211" s="21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>
      <c r="A212" s="20"/>
      <c r="B212" s="21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>
      <c r="A213" s="20"/>
      <c r="B213" s="21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>
      <c r="A214" s="20"/>
      <c r="B214" s="21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>
      <c r="A215" s="20"/>
      <c r="B215" s="21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>
      <c r="A216" s="20"/>
      <c r="B216" s="21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>
      <c r="A217" s="20"/>
      <c r="B217" s="21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>
      <c r="A218" s="20"/>
      <c r="B218" s="21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>
      <c r="A219" s="20"/>
      <c r="B219" s="21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>
      <c r="A220" s="20"/>
      <c r="B220" s="21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>
      <c r="A221" s="20"/>
      <c r="B221" s="21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>
      <c r="A222" s="20"/>
      <c r="B222" s="21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>
      <c r="A223" s="20"/>
      <c r="B223" s="21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>
      <c r="A224" s="20"/>
      <c r="B224" s="21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>
      <c r="A225" s="20"/>
      <c r="B225" s="21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>
      <c r="A226" s="20"/>
      <c r="B226" s="21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>
      <c r="A227" s="20"/>
      <c r="B227" s="21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>
      <c r="A228" s="20"/>
      <c r="B228" s="21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>
      <c r="A229" s="20"/>
      <c r="B229" s="21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>
      <c r="A230" s="20"/>
      <c r="B230" s="21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>
      <c r="A231" s="20"/>
      <c r="B231" s="21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>
      <c r="A232" s="20"/>
      <c r="B232" s="21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>
      <c r="A233" s="20"/>
      <c r="B233" s="21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>
      <c r="A234" s="20"/>
      <c r="B234" s="21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>
      <c r="A235" s="20"/>
      <c r="B235" s="21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>
      <c r="A236" s="20"/>
      <c r="B236" s="21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>
      <c r="A237" s="20"/>
      <c r="B237" s="21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>
      <c r="A238" s="20"/>
      <c r="B238" s="21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>
      <c r="A239" s="20"/>
      <c r="B239" s="21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>
      <c r="A240" s="20"/>
      <c r="B240" s="21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>
      <c r="A241" s="20"/>
      <c r="B241" s="21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>
      <c r="A242" s="20"/>
      <c r="B242" s="21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>
      <c r="A243" s="20"/>
      <c r="B243" s="21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>
      <c r="A244" s="20"/>
      <c r="B244" s="21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>
      <c r="A245" s="20"/>
      <c r="B245" s="21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>
      <c r="A246" s="20"/>
      <c r="B246" s="21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>
      <c r="A247" s="20"/>
      <c r="B247" s="21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>
      <c r="A248" s="20"/>
      <c r="B248" s="21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>
      <c r="A249" s="20"/>
      <c r="B249" s="21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>
      <c r="A250" s="20"/>
      <c r="B250" s="21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>
      <c r="A251" s="20"/>
      <c r="B251" s="21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>
      <c r="A252" s="20"/>
      <c r="B252" s="21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>
      <c r="A253" s="20"/>
      <c r="B253" s="21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>
      <c r="A254" s="20"/>
      <c r="B254" s="21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>
      <c r="A255" s="20"/>
      <c r="B255" s="21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>
      <c r="A256" s="20"/>
      <c r="B256" s="21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>
      <c r="A257" s="20"/>
      <c r="B257" s="21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>
      <c r="A258" s="20"/>
      <c r="B258" s="21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>
      <c r="A259" s="20"/>
      <c r="B259" s="21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>
      <c r="A260" s="20"/>
      <c r="B260" s="21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>
      <c r="A261" s="20"/>
      <c r="B261" s="21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>
      <c r="A262" s="20"/>
      <c r="B262" s="21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>
      <c r="A263" s="20"/>
      <c r="B263" s="21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>
      <c r="A264" s="20"/>
      <c r="B264" s="21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>
      <c r="A265" s="20"/>
      <c r="B265" s="21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>
      <c r="A266" s="20"/>
      <c r="B266" s="21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>
      <c r="A267" s="20"/>
      <c r="B267" s="21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>
      <c r="A268" s="20"/>
      <c r="B268" s="21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>
      <c r="A269" s="20"/>
      <c r="B269" s="21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>
      <c r="A270" s="20"/>
      <c r="B270" s="21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>
      <c r="A271" s="20"/>
      <c r="B271" s="21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>
      <c r="A272" s="20"/>
      <c r="B272" s="21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>
      <c r="A273" s="20"/>
      <c r="B273" s="21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>
      <c r="A274" s="20"/>
      <c r="B274" s="21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>
      <c r="A275" s="20"/>
      <c r="B275" s="21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>
      <c r="A276" s="20"/>
      <c r="B276" s="21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>
      <c r="A277" s="20"/>
      <c r="B277" s="21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>
      <c r="A278" s="20"/>
      <c r="B278" s="21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>
      <c r="A279" s="20"/>
      <c r="B279" s="21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>
      <c r="A280" s="20"/>
      <c r="B280" s="21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>
      <c r="A281" s="20"/>
      <c r="B281" s="21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>
      <c r="A282" s="20"/>
      <c r="B282" s="21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>
      <c r="A283" s="20"/>
      <c r="B283" s="21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>
      <c r="A284" s="20"/>
      <c r="B284" s="21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>
      <c r="A285" s="20"/>
      <c r="B285" s="21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>
      <c r="A286" s="20"/>
      <c r="B286" s="21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>
      <c r="A287" s="20"/>
      <c r="B287" s="21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>
      <c r="A288" s="20"/>
      <c r="B288" s="21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>
      <c r="A289" s="20"/>
      <c r="B289" s="21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>
      <c r="A290" s="20"/>
      <c r="B290" s="21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>
      <c r="A291" s="20"/>
      <c r="B291" s="21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>
      <c r="A292" s="20"/>
      <c r="B292" s="21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>
      <c r="A293" s="20"/>
      <c r="B293" s="21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>
      <c r="A294" s="20"/>
      <c r="B294" s="21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>
      <c r="A295" s="20"/>
      <c r="B295" s="21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>
      <c r="A296" s="20"/>
      <c r="B296" s="21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>
      <c r="A297" s="20"/>
      <c r="B297" s="21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>
      <c r="A298" s="20"/>
      <c r="B298" s="21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>
      <c r="A299" s="20"/>
      <c r="B299" s="21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>
      <c r="A300" s="20"/>
      <c r="B300" s="21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>
      <c r="A301" s="20"/>
      <c r="B301" s="21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>
      <c r="A302" s="20"/>
      <c r="B302" s="21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>
      <c r="A303" s="20"/>
      <c r="B303" s="21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>
      <c r="A304" s="20"/>
      <c r="B304" s="21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>
      <c r="A305" s="20"/>
      <c r="B305" s="21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>
      <c r="A306" s="20"/>
      <c r="B306" s="21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>
      <c r="A307" s="20"/>
      <c r="B307" s="21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>
      <c r="A308" s="20"/>
      <c r="B308" s="21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>
      <c r="A309" s="20"/>
      <c r="B309" s="21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>
      <c r="A310" s="20"/>
      <c r="B310" s="21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>
      <c r="A311" s="20"/>
      <c r="B311" s="21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>
      <c r="A312" s="20"/>
      <c r="B312" s="21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>
      <c r="A313" s="20"/>
      <c r="B313" s="21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>
      <c r="A314" s="20"/>
      <c r="B314" s="21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>
      <c r="A315" s="20"/>
      <c r="B315" s="21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>
      <c r="A316" s="20"/>
      <c r="B316" s="21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>
      <c r="A317" s="20"/>
      <c r="B317" s="21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>
      <c r="A318" s="20"/>
      <c r="B318" s="21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>
      <c r="A319" s="20"/>
      <c r="B319" s="21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>
      <c r="A320" s="20"/>
      <c r="B320" s="21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>
      <c r="A321" s="20"/>
      <c r="B321" s="21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>
      <c r="A322" s="20"/>
      <c r="B322" s="21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>
      <c r="A323" s="20"/>
      <c r="B323" s="21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>
      <c r="A324" s="20"/>
      <c r="B324" s="21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>
      <c r="A325" s="20"/>
      <c r="B325" s="21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>
      <c r="A326" s="20"/>
      <c r="B326" s="21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>
      <c r="A327" s="20"/>
      <c r="B327" s="21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>
      <c r="A328" s="20"/>
      <c r="B328" s="21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>
      <c r="A329" s="20"/>
      <c r="B329" s="21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>
      <c r="A330" s="20"/>
      <c r="B330" s="21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>
      <c r="A331" s="20"/>
      <c r="B331" s="21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>
      <c r="A332" s="20"/>
      <c r="B332" s="21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>
      <c r="A333" s="20"/>
      <c r="B333" s="21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>
      <c r="A334" s="20"/>
      <c r="B334" s="21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>
      <c r="A335" s="20"/>
      <c r="B335" s="21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>
      <c r="A336" s="20"/>
      <c r="B336" s="21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>
      <c r="A337" s="20"/>
      <c r="B337" s="21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>
      <c r="A338" s="20"/>
      <c r="B338" s="21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>
      <c r="A339" s="20"/>
      <c r="B339" s="21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>
      <c r="A340" s="20"/>
      <c r="B340" s="21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>
      <c r="A341" s="20"/>
      <c r="B341" s="21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>
      <c r="A342" s="20"/>
      <c r="B342" s="21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>
      <c r="A343" s="20"/>
      <c r="B343" s="21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>
      <c r="A344" s="20"/>
      <c r="B344" s="21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>
      <c r="A345" s="20"/>
      <c r="B345" s="21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>
      <c r="A346" s="20"/>
      <c r="B346" s="21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>
      <c r="A347" s="20"/>
      <c r="B347" s="21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>
      <c r="A348" s="20"/>
      <c r="B348" s="21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>
      <c r="A349" s="20"/>
      <c r="B349" s="21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>
      <c r="A350" s="20"/>
      <c r="B350" s="21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>
      <c r="A351" s="20"/>
      <c r="B351" s="21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>
      <c r="A352" s="20"/>
      <c r="B352" s="21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>
      <c r="A353" s="20"/>
      <c r="B353" s="21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>
      <c r="A354" s="20"/>
      <c r="B354" s="21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>
      <c r="A355" s="20"/>
      <c r="B355" s="21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>
      <c r="A356" s="20"/>
      <c r="B356" s="21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>
      <c r="A357" s="20"/>
      <c r="B357" s="21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>
      <c r="A358" s="20"/>
      <c r="B358" s="21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>
      <c r="A359" s="20"/>
      <c r="B359" s="21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>
      <c r="A360" s="20"/>
      <c r="B360" s="21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>
      <c r="A361" s="20"/>
      <c r="B361" s="21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>
      <c r="A362" s="20"/>
      <c r="B362" s="21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>
      <c r="A363" s="20"/>
      <c r="B363" s="21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>
      <c r="A364" s="20"/>
      <c r="B364" s="21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>
      <c r="A365" s="20"/>
      <c r="B365" s="21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>
      <c r="A366" s="20"/>
      <c r="B366" s="21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>
      <c r="A367" s="20"/>
      <c r="B367" s="21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>
      <c r="A368" s="20"/>
      <c r="B368" s="21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>
      <c r="A369" s="20"/>
      <c r="B369" s="21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>
      <c r="A370" s="20"/>
      <c r="B370" s="21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>
      <c r="A371" s="20"/>
      <c r="B371" s="21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>
      <c r="A372" s="20"/>
      <c r="B372" s="21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>
      <c r="A373" s="20"/>
      <c r="B373" s="21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>
      <c r="A374" s="20"/>
      <c r="B374" s="21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>
      <c r="A375" s="20"/>
      <c r="B375" s="21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>
      <c r="A376" s="20"/>
      <c r="B376" s="21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>
      <c r="A377" s="20"/>
      <c r="B377" s="21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>
      <c r="A378" s="20"/>
      <c r="B378" s="21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>
      <c r="A379" s="20"/>
      <c r="B379" s="21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>
      <c r="A380" s="20"/>
      <c r="B380" s="21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>
      <c r="A381" s="20"/>
      <c r="B381" s="21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>
      <c r="A382" s="20"/>
      <c r="B382" s="21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>
      <c r="A383" s="20"/>
      <c r="B383" s="21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>
      <c r="A384" s="20"/>
      <c r="B384" s="21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>
      <c r="A385" s="20"/>
      <c r="B385" s="21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>
      <c r="A386" s="20"/>
      <c r="B386" s="21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>
      <c r="A387" s="20"/>
      <c r="B387" s="21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>
      <c r="A388" s="20"/>
      <c r="B388" s="21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>
      <c r="A389" s="20"/>
      <c r="B389" s="21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>
      <c r="A390" s="20"/>
      <c r="B390" s="21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>
      <c r="A391" s="20"/>
      <c r="B391" s="21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>
      <c r="A392" s="20"/>
      <c r="B392" s="21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>
      <c r="A393" s="20"/>
      <c r="B393" s="21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>
      <c r="A394" s="20"/>
      <c r="B394" s="21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>
      <c r="A395" s="20"/>
      <c r="B395" s="21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>
      <c r="A396" s="20"/>
      <c r="B396" s="21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>
      <c r="A397" s="20"/>
      <c r="B397" s="21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>
      <c r="A398" s="20"/>
      <c r="B398" s="21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>
      <c r="A399" s="20"/>
      <c r="B399" s="21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>
      <c r="A400" s="20"/>
      <c r="B400" s="21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>
      <c r="A401" s="20"/>
      <c r="B401" s="21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>
      <c r="A402" s="20"/>
      <c r="B402" s="21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>
      <c r="A403" s="20"/>
      <c r="B403" s="21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>
      <c r="A404" s="20"/>
      <c r="B404" s="21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>
      <c r="A405" s="20"/>
      <c r="B405" s="21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>
      <c r="A406" s="20"/>
      <c r="B406" s="21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>
      <c r="A407" s="20"/>
      <c r="B407" s="21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>
      <c r="A408" s="20"/>
      <c r="B408" s="21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>
      <c r="A409" s="20"/>
      <c r="B409" s="21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>
      <c r="A410" s="20"/>
      <c r="B410" s="21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>
      <c r="A411" s="20"/>
      <c r="B411" s="21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>
      <c r="A412" s="20"/>
      <c r="B412" s="21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>
      <c r="A413" s="20"/>
      <c r="B413" s="21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>
      <c r="A414" s="20"/>
      <c r="B414" s="21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>
      <c r="A415" s="20"/>
      <c r="B415" s="21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>
      <c r="A416" s="20"/>
      <c r="B416" s="21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>
      <c r="A417" s="20"/>
      <c r="B417" s="21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>
      <c r="A418" s="20"/>
      <c r="B418" s="21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>
      <c r="A419" s="20"/>
      <c r="B419" s="21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>
      <c r="A420" s="20"/>
      <c r="B420" s="21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>
      <c r="A421" s="20"/>
      <c r="B421" s="21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>
      <c r="A422" s="20"/>
      <c r="B422" s="21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>
      <c r="A423" s="20"/>
      <c r="B423" s="21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>
      <c r="A424" s="20"/>
      <c r="B424" s="21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>
      <c r="A425" s="20"/>
      <c r="B425" s="21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>
      <c r="A426" s="20"/>
      <c r="B426" s="21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>
      <c r="A427" s="20"/>
      <c r="B427" s="21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>
      <c r="A428" s="20"/>
      <c r="B428" s="21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>
      <c r="A429" s="20"/>
      <c r="B429" s="21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>
      <c r="A430" s="20"/>
      <c r="B430" s="21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>
      <c r="A431" s="20"/>
      <c r="B431" s="21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>
      <c r="A432" s="20"/>
      <c r="B432" s="21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>
      <c r="A433" s="20"/>
      <c r="B433" s="21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>
      <c r="A434" s="20"/>
      <c r="B434" s="21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>
      <c r="A435" s="20"/>
      <c r="B435" s="21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>
      <c r="A436" s="20"/>
      <c r="B436" s="21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>
      <c r="A437" s="20"/>
      <c r="B437" s="21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>
      <c r="A438" s="20"/>
      <c r="B438" s="21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>
      <c r="A439" s="20"/>
      <c r="B439" s="21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>
      <c r="A440" s="20"/>
      <c r="B440" s="21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>
      <c r="A441" s="20"/>
      <c r="B441" s="21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>
      <c r="A442" s="20"/>
      <c r="B442" s="21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>
      <c r="A443" s="20"/>
      <c r="B443" s="21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>
      <c r="A444" s="20"/>
      <c r="B444" s="21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>
      <c r="A445" s="20"/>
      <c r="B445" s="21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>
      <c r="A446" s="20"/>
      <c r="B446" s="21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>
      <c r="A447" s="20"/>
      <c r="B447" s="21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>
      <c r="A448" s="20"/>
      <c r="B448" s="21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>
      <c r="A449" s="20"/>
      <c r="B449" s="21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>
      <c r="A450" s="20"/>
      <c r="B450" s="21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>
      <c r="A451" s="20"/>
      <c r="B451" s="21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>
      <c r="A452" s="20"/>
      <c r="B452" s="21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>
      <c r="A453" s="20"/>
      <c r="B453" s="21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>
      <c r="A454" s="20"/>
      <c r="B454" s="21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>
      <c r="A455" s="20"/>
      <c r="B455" s="21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>
      <c r="A456" s="20"/>
      <c r="B456" s="21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>
      <c r="A457" s="20"/>
      <c r="B457" s="21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>
      <c r="A458" s="20"/>
      <c r="B458" s="21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>
      <c r="A459" s="20"/>
      <c r="B459" s="21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>
      <c r="A460" s="20"/>
      <c r="B460" s="21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>
      <c r="A461" s="20"/>
      <c r="B461" s="21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>
      <c r="A462" s="20"/>
      <c r="B462" s="21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>
      <c r="A463" s="20"/>
      <c r="B463" s="21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>
      <c r="A464" s="20"/>
      <c r="B464" s="21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>
      <c r="A465" s="20"/>
      <c r="B465" s="21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>
      <c r="A466" s="20"/>
      <c r="B466" s="21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>
      <c r="A467" s="20"/>
      <c r="B467" s="21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>
      <c r="A468" s="20"/>
      <c r="B468" s="21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>
      <c r="A469" s="20"/>
      <c r="B469" s="21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>
      <c r="A470" s="20"/>
      <c r="B470" s="21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>
      <c r="A471" s="20"/>
      <c r="B471" s="21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>
      <c r="A472" s="20"/>
      <c r="B472" s="21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>
      <c r="A473" s="20"/>
      <c r="B473" s="21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>
      <c r="A474" s="20"/>
      <c r="B474" s="21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>
      <c r="A475" s="20"/>
      <c r="B475" s="21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>
      <c r="A476" s="20"/>
      <c r="B476" s="21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>
      <c r="A477" s="20"/>
      <c r="B477" s="21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>
      <c r="A478" s="20"/>
      <c r="B478" s="21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>
      <c r="A479" s="20"/>
      <c r="B479" s="21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>
      <c r="A480" s="20"/>
      <c r="B480" s="21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>
      <c r="A481" s="20"/>
      <c r="B481" s="21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>
      <c r="A482" s="20"/>
      <c r="B482" s="21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>
      <c r="A483" s="20"/>
      <c r="B483" s="21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>
      <c r="A484" s="20"/>
      <c r="B484" s="21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>
      <c r="A485" s="20"/>
      <c r="B485" s="21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>
      <c r="A486" s="20"/>
      <c r="B486" s="21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>
      <c r="A487" s="20"/>
      <c r="B487" s="21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>
      <c r="A488" s="20"/>
      <c r="B488" s="21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>
      <c r="A489" s="20"/>
      <c r="B489" s="21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>
      <c r="A490" s="20"/>
      <c r="B490" s="21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>
      <c r="A491" s="20"/>
      <c r="B491" s="21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>
      <c r="A492" s="20"/>
      <c r="B492" s="21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>
      <c r="A493" s="20"/>
      <c r="B493" s="21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>
      <c r="A494" s="20"/>
      <c r="B494" s="21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>
      <c r="A495" s="20"/>
      <c r="B495" s="21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>
      <c r="A496" s="20"/>
      <c r="B496" s="21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>
      <c r="A497" s="20"/>
      <c r="B497" s="21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>
      <c r="A498" s="20"/>
      <c r="B498" s="21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>
      <c r="A499" s="20"/>
      <c r="B499" s="21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>
      <c r="A500" s="20"/>
      <c r="B500" s="21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>
      <c r="A501" s="20"/>
      <c r="B501" s="21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>
      <c r="A502" s="20"/>
      <c r="B502" s="21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>
      <c r="A503" s="20"/>
      <c r="B503" s="21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>
      <c r="A504" s="20"/>
      <c r="B504" s="21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>
      <c r="A505" s="20"/>
      <c r="B505" s="21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>
      <c r="A506" s="20"/>
      <c r="B506" s="21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>
      <c r="A507" s="20"/>
      <c r="B507" s="21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>
      <c r="A508" s="20"/>
      <c r="B508" s="21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>
      <c r="A509" s="20"/>
      <c r="B509" s="21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>
      <c r="A510" s="20"/>
      <c r="B510" s="21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>
      <c r="A511" s="20"/>
      <c r="B511" s="21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>
      <c r="A512" s="20"/>
      <c r="B512" s="21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>
      <c r="A513" s="20"/>
      <c r="B513" s="21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>
      <c r="A514" s="20"/>
      <c r="B514" s="21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>
      <c r="A515" s="20"/>
      <c r="B515" s="21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>
      <c r="A516" s="20"/>
      <c r="B516" s="21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>
      <c r="A517" s="20"/>
      <c r="B517" s="21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>
      <c r="A518" s="20"/>
      <c r="B518" s="21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>
      <c r="A519" s="20"/>
      <c r="B519" s="21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>
      <c r="A520" s="20"/>
      <c r="B520" s="21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>
      <c r="A521" s="20"/>
      <c r="B521" s="21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>
      <c r="A522" s="20"/>
      <c r="B522" s="21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>
      <c r="A523" s="20"/>
      <c r="B523" s="21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>
      <c r="A524" s="20"/>
      <c r="B524" s="21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>
      <c r="A525" s="20"/>
      <c r="B525" s="21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>
      <c r="A526" s="20"/>
      <c r="B526" s="21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>
      <c r="A527" s="20"/>
      <c r="B527" s="21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>
      <c r="A528" s="20"/>
      <c r="B528" s="21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>
      <c r="A529" s="20"/>
      <c r="B529" s="21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>
      <c r="A530" s="20"/>
      <c r="B530" s="21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>
      <c r="A531" s="20"/>
      <c r="B531" s="21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>
      <c r="A532" s="20"/>
      <c r="B532" s="21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>
      <c r="A533" s="20"/>
      <c r="B533" s="21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>
      <c r="A534" s="20"/>
      <c r="B534" s="21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>
      <c r="A535" s="20"/>
      <c r="B535" s="21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>
      <c r="A536" s="20"/>
      <c r="B536" s="21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>
      <c r="A537" s="20"/>
      <c r="B537" s="21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>
      <c r="A538" s="20"/>
      <c r="B538" s="21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>
      <c r="A539" s="20"/>
      <c r="B539" s="21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>
      <c r="A540" s="20"/>
      <c r="B540" s="21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>
      <c r="A541" s="20"/>
      <c r="B541" s="21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>
      <c r="A542" s="20"/>
      <c r="B542" s="21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>
      <c r="A543" s="20"/>
      <c r="B543" s="21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>
      <c r="A544" s="20"/>
      <c r="B544" s="21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>
      <c r="A545" s="20"/>
      <c r="B545" s="21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>
      <c r="A546" s="20"/>
      <c r="B546" s="21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>
      <c r="A547" s="20"/>
      <c r="B547" s="21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>
      <c r="A548" s="20"/>
      <c r="B548" s="21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>
      <c r="A549" s="20"/>
      <c r="B549" s="21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>
      <c r="A550" s="20"/>
      <c r="B550" s="21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>
      <c r="A551" s="20"/>
      <c r="B551" s="21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>
      <c r="A552" s="20"/>
      <c r="B552" s="21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>
      <c r="A553" s="20"/>
      <c r="B553" s="21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>
      <c r="A554" s="20"/>
      <c r="B554" s="21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>
      <c r="A555" s="20"/>
      <c r="B555" s="21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>
      <c r="A556" s="20"/>
      <c r="B556" s="21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>
      <c r="A557" s="20"/>
      <c r="B557" s="21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>
      <c r="A558" s="20"/>
      <c r="B558" s="21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>
      <c r="A559" s="20"/>
      <c r="B559" s="21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>
      <c r="A560" s="20"/>
      <c r="B560" s="21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>
      <c r="A561" s="20"/>
      <c r="B561" s="21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>
      <c r="A562" s="20"/>
      <c r="B562" s="21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>
      <c r="A563" s="20"/>
      <c r="B563" s="21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>
      <c r="A564" s="20"/>
      <c r="B564" s="21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>
      <c r="A565" s="20"/>
      <c r="B565" s="21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>
      <c r="A566" s="20"/>
      <c r="B566" s="21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>
      <c r="A567" s="20"/>
      <c r="B567" s="21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>
      <c r="A568" s="20"/>
      <c r="B568" s="21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>
      <c r="A569" s="20"/>
      <c r="B569" s="21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>
      <c r="A570" s="20"/>
      <c r="B570" s="21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>
      <c r="A571" s="20"/>
      <c r="B571" s="21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>
      <c r="A572" s="20"/>
      <c r="B572" s="21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>
      <c r="A573" s="20"/>
      <c r="B573" s="21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>
      <c r="A574" s="20"/>
      <c r="B574" s="21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>
      <c r="A575" s="20"/>
      <c r="B575" s="21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>
      <c r="A576" s="20"/>
      <c r="B576" s="21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>
      <c r="A577" s="20"/>
      <c r="B577" s="21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>
      <c r="A578" s="20"/>
      <c r="B578" s="21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>
      <c r="A579" s="20"/>
      <c r="B579" s="21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>
      <c r="A580" s="20"/>
      <c r="B580" s="21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>
      <c r="A581" s="20"/>
      <c r="B581" s="21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>
      <c r="A582" s="20"/>
      <c r="B582" s="21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>
      <c r="A583" s="20"/>
      <c r="B583" s="21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>
      <c r="A584" s="20"/>
      <c r="B584" s="21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>
      <c r="A585" s="20"/>
      <c r="B585" s="21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>
      <c r="A586" s="20"/>
      <c r="B586" s="21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>
      <c r="A587" s="20"/>
      <c r="B587" s="21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>
      <c r="A588" s="20"/>
      <c r="B588" s="21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>
      <c r="A589" s="20"/>
      <c r="B589" s="21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>
      <c r="A590" s="20"/>
      <c r="B590" s="21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>
      <c r="A591" s="20"/>
      <c r="B591" s="21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>
      <c r="A592" s="20"/>
      <c r="B592" s="21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>
      <c r="A593" s="20"/>
      <c r="B593" s="21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>
      <c r="A594" s="20"/>
      <c r="B594" s="21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>
      <c r="A595" s="20"/>
      <c r="B595" s="21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>
      <c r="A596" s="20"/>
      <c r="B596" s="21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>
      <c r="A597" s="20"/>
      <c r="B597" s="21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>
      <c r="A598" s="20"/>
      <c r="B598" s="21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>
      <c r="A599" s="20"/>
      <c r="B599" s="21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>
      <c r="A600" s="20"/>
      <c r="B600" s="21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>
      <c r="A601" s="20"/>
      <c r="B601" s="21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>
      <c r="A602" s="20"/>
      <c r="B602" s="21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>
      <c r="A603" s="20"/>
      <c r="B603" s="21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>
      <c r="A604" s="20"/>
      <c r="B604" s="21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>
      <c r="A605" s="20"/>
      <c r="B605" s="21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>
      <c r="A606" s="20"/>
      <c r="B606" s="21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>
      <c r="A607" s="20"/>
      <c r="B607" s="21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>
      <c r="A608" s="20"/>
      <c r="B608" s="21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>
      <c r="A609" s="20"/>
      <c r="B609" s="21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>
      <c r="A610" s="20"/>
      <c r="B610" s="21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>
      <c r="A611" s="20"/>
      <c r="B611" s="21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>
      <c r="A612" s="20"/>
      <c r="B612" s="21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>
      <c r="A613" s="20"/>
      <c r="B613" s="21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>
      <c r="A614" s="20"/>
      <c r="B614" s="21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>
      <c r="A615" s="20"/>
      <c r="B615" s="21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>
      <c r="A616" s="20"/>
      <c r="B616" s="21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>
      <c r="A617" s="20"/>
      <c r="B617" s="21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>
      <c r="A618" s="20"/>
      <c r="B618" s="21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>
      <c r="A619" s="20"/>
      <c r="B619" s="21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>
      <c r="A620" s="20"/>
      <c r="B620" s="21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>
      <c r="A621" s="20"/>
      <c r="B621" s="21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>
      <c r="A622" s="20"/>
      <c r="B622" s="21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>
      <c r="A623" s="20"/>
      <c r="B623" s="21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>
      <c r="A624" s="20"/>
      <c r="B624" s="21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>
      <c r="A625" s="20"/>
      <c r="B625" s="21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>
      <c r="A626" s="20"/>
      <c r="B626" s="21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>
      <c r="A627" s="20"/>
      <c r="B627" s="21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>
      <c r="A628" s="20"/>
      <c r="B628" s="21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>
      <c r="A629" s="20"/>
      <c r="B629" s="21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>
      <c r="A630" s="20"/>
      <c r="B630" s="21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>
      <c r="A631" s="20"/>
      <c r="B631" s="21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>
      <c r="A632" s="20"/>
      <c r="B632" s="21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>
      <c r="A633" s="20"/>
      <c r="B633" s="21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>
      <c r="A634" s="20"/>
      <c r="B634" s="21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>
      <c r="A635" s="20"/>
      <c r="B635" s="21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>
      <c r="A636" s="20"/>
      <c r="B636" s="21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>
      <c r="A637" s="20"/>
      <c r="B637" s="21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>
      <c r="A638" s="20"/>
      <c r="B638" s="21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>
      <c r="A639" s="20"/>
      <c r="B639" s="21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>
      <c r="A640" s="20"/>
      <c r="B640" s="21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>
      <c r="A641" s="20"/>
      <c r="B641" s="21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>
      <c r="A642" s="20"/>
      <c r="B642" s="21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>
      <c r="A643" s="20"/>
      <c r="B643" s="21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>
      <c r="A644" s="20"/>
      <c r="B644" s="21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>
      <c r="A645" s="20"/>
      <c r="B645" s="21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>
      <c r="A646" s="20"/>
      <c r="B646" s="21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>
      <c r="A647" s="20"/>
      <c r="B647" s="21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>
      <c r="A648" s="20"/>
      <c r="B648" s="21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>
      <c r="A649" s="20"/>
      <c r="B649" s="21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>
      <c r="A650" s="20"/>
      <c r="B650" s="21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>
      <c r="A651" s="20"/>
      <c r="B651" s="21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>
      <c r="A652" s="20"/>
      <c r="B652" s="21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>
      <c r="A653" s="20"/>
      <c r="B653" s="21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>
      <c r="A654" s="20"/>
      <c r="B654" s="21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>
      <c r="A655" s="20"/>
      <c r="B655" s="21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</row>
    <row r="656">
      <c r="A656" s="20"/>
      <c r="B656" s="21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>
      <c r="A657" s="20"/>
      <c r="B657" s="21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>
      <c r="A658" s="20"/>
      <c r="B658" s="21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>
      <c r="A659" s="20"/>
      <c r="B659" s="21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</row>
    <row r="660">
      <c r="A660" s="20"/>
      <c r="B660" s="21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</row>
    <row r="661">
      <c r="A661" s="20"/>
      <c r="B661" s="21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</row>
    <row r="662">
      <c r="A662" s="20"/>
      <c r="B662" s="21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</row>
    <row r="663">
      <c r="A663" s="20"/>
      <c r="B663" s="21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</row>
    <row r="664">
      <c r="A664" s="20"/>
      <c r="B664" s="21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</row>
    <row r="665">
      <c r="A665" s="20"/>
      <c r="B665" s="21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</row>
    <row r="666">
      <c r="A666" s="20"/>
      <c r="B666" s="21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</row>
    <row r="667">
      <c r="A667" s="20"/>
      <c r="B667" s="21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</row>
    <row r="668">
      <c r="A668" s="20"/>
      <c r="B668" s="21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</row>
    <row r="669">
      <c r="A669" s="20"/>
      <c r="B669" s="21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</row>
    <row r="670">
      <c r="A670" s="20"/>
      <c r="B670" s="21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</row>
    <row r="671">
      <c r="A671" s="20"/>
      <c r="B671" s="21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</row>
    <row r="672">
      <c r="A672" s="20"/>
      <c r="B672" s="21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</row>
    <row r="673">
      <c r="A673" s="20"/>
      <c r="B673" s="21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>
      <c r="A674" s="20"/>
      <c r="B674" s="21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>
      <c r="A675" s="20"/>
      <c r="B675" s="21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>
      <c r="A676" s="20"/>
      <c r="B676" s="21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>
      <c r="A677" s="20"/>
      <c r="B677" s="21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>
      <c r="A678" s="20"/>
      <c r="B678" s="21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</row>
    <row r="679">
      <c r="A679" s="20"/>
      <c r="B679" s="21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</row>
    <row r="680">
      <c r="A680" s="20"/>
      <c r="B680" s="21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</row>
    <row r="681">
      <c r="A681" s="20"/>
      <c r="B681" s="21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</row>
    <row r="682">
      <c r="A682" s="20"/>
      <c r="B682" s="21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</row>
    <row r="683">
      <c r="A683" s="20"/>
      <c r="B683" s="21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</row>
    <row r="684">
      <c r="A684" s="20"/>
      <c r="B684" s="21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</row>
    <row r="685">
      <c r="A685" s="20"/>
      <c r="B685" s="21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</row>
    <row r="686">
      <c r="A686" s="20"/>
      <c r="B686" s="21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</row>
    <row r="687">
      <c r="A687" s="20"/>
      <c r="B687" s="21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</row>
    <row r="688">
      <c r="A688" s="20"/>
      <c r="B688" s="21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</row>
    <row r="689">
      <c r="A689" s="20"/>
      <c r="B689" s="21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</row>
    <row r="690">
      <c r="A690" s="20"/>
      <c r="B690" s="21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</row>
    <row r="691">
      <c r="A691" s="20"/>
      <c r="B691" s="21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</row>
    <row r="692">
      <c r="A692" s="20"/>
      <c r="B692" s="21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</row>
    <row r="693">
      <c r="A693" s="20"/>
      <c r="B693" s="21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</row>
    <row r="694">
      <c r="A694" s="20"/>
      <c r="B694" s="21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</row>
    <row r="695">
      <c r="A695" s="20"/>
      <c r="B695" s="21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</row>
    <row r="696">
      <c r="A696" s="20"/>
      <c r="B696" s="21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</row>
    <row r="697">
      <c r="A697" s="20"/>
      <c r="B697" s="21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</row>
    <row r="698">
      <c r="A698" s="20"/>
      <c r="B698" s="21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</row>
    <row r="699">
      <c r="A699" s="20"/>
      <c r="B699" s="21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</row>
    <row r="700">
      <c r="A700" s="20"/>
      <c r="B700" s="21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</row>
    <row r="701">
      <c r="A701" s="20"/>
      <c r="B701" s="21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</row>
    <row r="702">
      <c r="A702" s="20"/>
      <c r="B702" s="21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</row>
    <row r="703">
      <c r="A703" s="20"/>
      <c r="B703" s="21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</row>
    <row r="704">
      <c r="A704" s="20"/>
      <c r="B704" s="21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</row>
    <row r="705">
      <c r="A705" s="20"/>
      <c r="B705" s="21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</row>
    <row r="706">
      <c r="A706" s="20"/>
      <c r="B706" s="21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</row>
    <row r="707">
      <c r="A707" s="20"/>
      <c r="B707" s="21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</row>
    <row r="708">
      <c r="A708" s="20"/>
      <c r="B708" s="21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</row>
    <row r="709">
      <c r="A709" s="20"/>
      <c r="B709" s="21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</row>
    <row r="710">
      <c r="A710" s="20"/>
      <c r="B710" s="21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</row>
    <row r="711">
      <c r="A711" s="20"/>
      <c r="B711" s="21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</row>
    <row r="712">
      <c r="A712" s="20"/>
      <c r="B712" s="21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</row>
    <row r="713">
      <c r="A713" s="20"/>
      <c r="B713" s="21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</row>
    <row r="714">
      <c r="A714" s="20"/>
      <c r="B714" s="21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</row>
    <row r="715">
      <c r="A715" s="20"/>
      <c r="B715" s="21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</row>
    <row r="716">
      <c r="A716" s="20"/>
      <c r="B716" s="21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</row>
    <row r="717">
      <c r="A717" s="20"/>
      <c r="B717" s="21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</row>
    <row r="718">
      <c r="A718" s="20"/>
      <c r="B718" s="21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</row>
    <row r="719">
      <c r="A719" s="20"/>
      <c r="B719" s="21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</row>
    <row r="720">
      <c r="A720" s="20"/>
      <c r="B720" s="21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</row>
    <row r="721">
      <c r="A721" s="20"/>
      <c r="B721" s="21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</row>
    <row r="722">
      <c r="A722" s="20"/>
      <c r="B722" s="21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</row>
    <row r="723">
      <c r="A723" s="20"/>
      <c r="B723" s="21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</row>
    <row r="724">
      <c r="A724" s="20"/>
      <c r="B724" s="21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</row>
    <row r="725">
      <c r="A725" s="20"/>
      <c r="B725" s="21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</row>
    <row r="726">
      <c r="A726" s="20"/>
      <c r="B726" s="21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</row>
    <row r="727">
      <c r="A727" s="20"/>
      <c r="B727" s="21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</row>
    <row r="728">
      <c r="A728" s="20"/>
      <c r="B728" s="21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</row>
    <row r="729">
      <c r="A729" s="20"/>
      <c r="B729" s="21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</row>
    <row r="730">
      <c r="A730" s="20"/>
      <c r="B730" s="21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</row>
    <row r="731">
      <c r="A731" s="20"/>
      <c r="B731" s="21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</row>
    <row r="732">
      <c r="A732" s="20"/>
      <c r="B732" s="21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</row>
    <row r="733">
      <c r="A733" s="20"/>
      <c r="B733" s="21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</row>
    <row r="734">
      <c r="A734" s="20"/>
      <c r="B734" s="21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</row>
    <row r="735">
      <c r="A735" s="20"/>
      <c r="B735" s="21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</row>
    <row r="736">
      <c r="A736" s="20"/>
      <c r="B736" s="21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</row>
    <row r="737">
      <c r="A737" s="20"/>
      <c r="B737" s="21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</row>
    <row r="738">
      <c r="A738" s="20"/>
      <c r="B738" s="21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</row>
    <row r="739">
      <c r="A739" s="20"/>
      <c r="B739" s="21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</row>
    <row r="740">
      <c r="A740" s="20"/>
      <c r="B740" s="21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</row>
    <row r="741">
      <c r="A741" s="20"/>
      <c r="B741" s="21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</row>
    <row r="742">
      <c r="A742" s="20"/>
      <c r="B742" s="21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</row>
    <row r="743">
      <c r="A743" s="20"/>
      <c r="B743" s="21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</row>
    <row r="744">
      <c r="A744" s="20"/>
      <c r="B744" s="21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</row>
    <row r="745">
      <c r="A745" s="20"/>
      <c r="B745" s="21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</row>
    <row r="746">
      <c r="A746" s="20"/>
      <c r="B746" s="21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</row>
    <row r="747">
      <c r="A747" s="20"/>
      <c r="B747" s="21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</row>
    <row r="748">
      <c r="A748" s="20"/>
      <c r="B748" s="21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</row>
    <row r="749">
      <c r="A749" s="20"/>
      <c r="B749" s="21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</row>
    <row r="750">
      <c r="A750" s="20"/>
      <c r="B750" s="21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</row>
    <row r="751">
      <c r="A751" s="20"/>
      <c r="B751" s="21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</row>
    <row r="752">
      <c r="A752" s="20"/>
      <c r="B752" s="21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</row>
    <row r="753">
      <c r="A753" s="20"/>
      <c r="B753" s="21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</row>
    <row r="754">
      <c r="A754" s="20"/>
      <c r="B754" s="21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</row>
    <row r="755">
      <c r="A755" s="20"/>
      <c r="B755" s="21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</row>
    <row r="756">
      <c r="A756" s="20"/>
      <c r="B756" s="21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</row>
    <row r="757">
      <c r="A757" s="20"/>
      <c r="B757" s="21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</row>
    <row r="758">
      <c r="A758" s="20"/>
      <c r="B758" s="21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</row>
    <row r="759">
      <c r="A759" s="20"/>
      <c r="B759" s="21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</row>
    <row r="760">
      <c r="A760" s="20"/>
      <c r="B760" s="21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</row>
    <row r="761">
      <c r="A761" s="20"/>
      <c r="B761" s="21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</row>
    <row r="762">
      <c r="A762" s="20"/>
      <c r="B762" s="21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</row>
    <row r="763">
      <c r="A763" s="20"/>
      <c r="B763" s="21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</row>
    <row r="764">
      <c r="A764" s="20"/>
      <c r="B764" s="21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</row>
    <row r="765">
      <c r="A765" s="20"/>
      <c r="B765" s="21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</row>
    <row r="766">
      <c r="A766" s="20"/>
      <c r="B766" s="21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</row>
    <row r="767">
      <c r="A767" s="20"/>
      <c r="B767" s="21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</row>
    <row r="768">
      <c r="A768" s="20"/>
      <c r="B768" s="21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</row>
    <row r="769">
      <c r="A769" s="20"/>
      <c r="B769" s="21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</row>
    <row r="770">
      <c r="A770" s="20"/>
      <c r="B770" s="21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</row>
    <row r="771">
      <c r="A771" s="20"/>
      <c r="B771" s="21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</row>
    <row r="772">
      <c r="A772" s="20"/>
      <c r="B772" s="21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</row>
    <row r="773">
      <c r="A773" s="20"/>
      <c r="B773" s="21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</row>
    <row r="774">
      <c r="A774" s="20"/>
      <c r="B774" s="21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</row>
    <row r="775">
      <c r="A775" s="20"/>
      <c r="B775" s="21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</row>
    <row r="776">
      <c r="A776" s="20"/>
      <c r="B776" s="21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</row>
    <row r="777">
      <c r="A777" s="20"/>
      <c r="B777" s="21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</row>
    <row r="778">
      <c r="A778" s="20"/>
      <c r="B778" s="21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</row>
    <row r="779">
      <c r="A779" s="20"/>
      <c r="B779" s="21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</row>
    <row r="780">
      <c r="A780" s="20"/>
      <c r="B780" s="21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</row>
    <row r="781">
      <c r="A781" s="20"/>
      <c r="B781" s="21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</row>
    <row r="782">
      <c r="A782" s="20"/>
      <c r="B782" s="21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</row>
    <row r="783">
      <c r="A783" s="20"/>
      <c r="B783" s="21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</row>
    <row r="784">
      <c r="A784" s="20"/>
      <c r="B784" s="21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</row>
    <row r="785">
      <c r="A785" s="20"/>
      <c r="B785" s="21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</row>
    <row r="786">
      <c r="A786" s="20"/>
      <c r="B786" s="21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</row>
    <row r="787">
      <c r="A787" s="20"/>
      <c r="B787" s="21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</row>
    <row r="788">
      <c r="A788" s="20"/>
      <c r="B788" s="21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</row>
    <row r="789">
      <c r="A789" s="20"/>
      <c r="B789" s="21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</row>
    <row r="790">
      <c r="A790" s="20"/>
      <c r="B790" s="21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</row>
    <row r="791">
      <c r="A791" s="20"/>
      <c r="B791" s="21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</row>
    <row r="792">
      <c r="A792" s="20"/>
      <c r="B792" s="21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</row>
    <row r="793">
      <c r="A793" s="20"/>
      <c r="B793" s="21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</row>
    <row r="794">
      <c r="A794" s="20"/>
      <c r="B794" s="21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</row>
    <row r="795">
      <c r="A795" s="20"/>
      <c r="B795" s="21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</row>
    <row r="796">
      <c r="A796" s="20"/>
      <c r="B796" s="21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</row>
    <row r="797">
      <c r="A797" s="20"/>
      <c r="B797" s="21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</row>
    <row r="798">
      <c r="A798" s="20"/>
      <c r="B798" s="21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</row>
    <row r="799">
      <c r="A799" s="20"/>
      <c r="B799" s="21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</row>
    <row r="800">
      <c r="A800" s="20"/>
      <c r="B800" s="21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</row>
    <row r="801">
      <c r="A801" s="20"/>
      <c r="B801" s="21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</row>
    <row r="802">
      <c r="A802" s="20"/>
      <c r="B802" s="21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</row>
    <row r="803">
      <c r="A803" s="20"/>
      <c r="B803" s="21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</row>
    <row r="804">
      <c r="A804" s="20"/>
      <c r="B804" s="21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</row>
    <row r="805">
      <c r="A805" s="20"/>
      <c r="B805" s="21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</row>
    <row r="806">
      <c r="A806" s="20"/>
      <c r="B806" s="21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</row>
    <row r="807">
      <c r="A807" s="20"/>
      <c r="B807" s="21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</row>
    <row r="808">
      <c r="A808" s="20"/>
      <c r="B808" s="21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</row>
    <row r="809">
      <c r="A809" s="20"/>
      <c r="B809" s="21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</row>
    <row r="810">
      <c r="A810" s="20"/>
      <c r="B810" s="21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</row>
    <row r="811">
      <c r="A811" s="20"/>
      <c r="B811" s="21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</row>
    <row r="812">
      <c r="A812" s="20"/>
      <c r="B812" s="21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</row>
    <row r="813">
      <c r="A813" s="20"/>
      <c r="B813" s="21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</row>
    <row r="814">
      <c r="A814" s="20"/>
      <c r="B814" s="21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</row>
    <row r="815">
      <c r="A815" s="20"/>
      <c r="B815" s="21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</row>
    <row r="816">
      <c r="A816" s="20"/>
      <c r="B816" s="21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</row>
    <row r="817">
      <c r="A817" s="20"/>
      <c r="B817" s="21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</row>
    <row r="818">
      <c r="A818" s="20"/>
      <c r="B818" s="21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</row>
    <row r="819">
      <c r="A819" s="20"/>
      <c r="B819" s="21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</row>
    <row r="820">
      <c r="A820" s="20"/>
      <c r="B820" s="21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</row>
    <row r="821">
      <c r="A821" s="20"/>
      <c r="B821" s="21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</row>
    <row r="822">
      <c r="A822" s="20"/>
      <c r="B822" s="21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</row>
    <row r="823">
      <c r="A823" s="20"/>
      <c r="B823" s="21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</row>
    <row r="824">
      <c r="A824" s="20"/>
      <c r="B824" s="21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</row>
    <row r="825">
      <c r="A825" s="20"/>
      <c r="B825" s="21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</row>
    <row r="826">
      <c r="A826" s="20"/>
      <c r="B826" s="21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</row>
    <row r="827">
      <c r="A827" s="20"/>
      <c r="B827" s="21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</row>
    <row r="828">
      <c r="A828" s="20"/>
      <c r="B828" s="21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</row>
    <row r="829">
      <c r="A829" s="20"/>
      <c r="B829" s="21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</row>
    <row r="830">
      <c r="A830" s="20"/>
      <c r="B830" s="21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</row>
    <row r="831">
      <c r="A831" s="20"/>
      <c r="B831" s="21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</row>
    <row r="832">
      <c r="A832" s="20"/>
      <c r="B832" s="21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</row>
    <row r="833">
      <c r="A833" s="20"/>
      <c r="B833" s="21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</row>
    <row r="834">
      <c r="A834" s="20"/>
      <c r="B834" s="21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</row>
    <row r="835">
      <c r="A835" s="20"/>
      <c r="B835" s="21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</row>
    <row r="836">
      <c r="A836" s="20"/>
      <c r="B836" s="21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</row>
    <row r="837">
      <c r="A837" s="20"/>
      <c r="B837" s="21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</row>
    <row r="838">
      <c r="A838" s="20"/>
      <c r="B838" s="21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</row>
    <row r="839">
      <c r="A839" s="20"/>
      <c r="B839" s="21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</row>
    <row r="840">
      <c r="A840" s="20"/>
      <c r="B840" s="21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</row>
    <row r="841">
      <c r="A841" s="20"/>
      <c r="B841" s="21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</row>
    <row r="842">
      <c r="A842" s="20"/>
      <c r="B842" s="21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</row>
    <row r="843">
      <c r="A843" s="20"/>
      <c r="B843" s="21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</row>
    <row r="844">
      <c r="A844" s="20"/>
      <c r="B844" s="21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</row>
    <row r="845">
      <c r="A845" s="20"/>
      <c r="B845" s="21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</row>
    <row r="846">
      <c r="A846" s="20"/>
      <c r="B846" s="21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</row>
    <row r="847">
      <c r="A847" s="20"/>
      <c r="B847" s="21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</row>
    <row r="848">
      <c r="A848" s="20"/>
      <c r="B848" s="21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</row>
    <row r="849">
      <c r="A849" s="20"/>
      <c r="B849" s="21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</row>
    <row r="850">
      <c r="A850" s="20"/>
      <c r="B850" s="21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</row>
    <row r="851">
      <c r="A851" s="20"/>
      <c r="B851" s="21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</row>
    <row r="852">
      <c r="A852" s="20"/>
      <c r="B852" s="21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</row>
    <row r="853">
      <c r="A853" s="20"/>
      <c r="B853" s="21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</row>
    <row r="854">
      <c r="A854" s="20"/>
      <c r="B854" s="21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</row>
    <row r="855">
      <c r="A855" s="20"/>
      <c r="B855" s="21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</row>
    <row r="856">
      <c r="A856" s="20"/>
      <c r="B856" s="21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</row>
    <row r="857">
      <c r="A857" s="20"/>
      <c r="B857" s="21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</row>
    <row r="858">
      <c r="A858" s="20"/>
      <c r="B858" s="21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</row>
    <row r="859">
      <c r="A859" s="20"/>
      <c r="B859" s="21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</row>
    <row r="860">
      <c r="A860" s="20"/>
      <c r="B860" s="21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</row>
    <row r="861">
      <c r="A861" s="20"/>
      <c r="B861" s="21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</row>
    <row r="862">
      <c r="A862" s="20"/>
      <c r="B862" s="21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</row>
    <row r="863">
      <c r="A863" s="20"/>
      <c r="B863" s="21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</row>
    <row r="864">
      <c r="A864" s="20"/>
      <c r="B864" s="21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</row>
    <row r="865">
      <c r="A865" s="20"/>
      <c r="B865" s="21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</row>
    <row r="866">
      <c r="A866" s="20"/>
      <c r="B866" s="21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</row>
    <row r="867">
      <c r="A867" s="20"/>
      <c r="B867" s="21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</row>
    <row r="868">
      <c r="A868" s="20"/>
      <c r="B868" s="21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</row>
    <row r="869">
      <c r="A869" s="20"/>
      <c r="B869" s="21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</row>
    <row r="870">
      <c r="A870" s="20"/>
      <c r="B870" s="21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</row>
    <row r="871">
      <c r="A871" s="20"/>
      <c r="B871" s="21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</row>
    <row r="872">
      <c r="A872" s="20"/>
      <c r="B872" s="21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</row>
    <row r="873">
      <c r="A873" s="20"/>
      <c r="B873" s="21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</row>
    <row r="874">
      <c r="A874" s="20"/>
      <c r="B874" s="21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</row>
    <row r="875">
      <c r="A875" s="20"/>
      <c r="B875" s="21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</row>
    <row r="876">
      <c r="A876" s="20"/>
      <c r="B876" s="21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</row>
    <row r="877">
      <c r="A877" s="20"/>
      <c r="B877" s="21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</row>
    <row r="878">
      <c r="A878" s="20"/>
      <c r="B878" s="21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</row>
    <row r="879">
      <c r="A879" s="20"/>
      <c r="B879" s="21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</row>
    <row r="880">
      <c r="A880" s="20"/>
      <c r="B880" s="21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</row>
    <row r="881">
      <c r="A881" s="20"/>
      <c r="B881" s="21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</row>
    <row r="882">
      <c r="A882" s="20"/>
      <c r="B882" s="21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</row>
    <row r="883">
      <c r="A883" s="20"/>
      <c r="B883" s="21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</row>
    <row r="884">
      <c r="A884" s="20"/>
      <c r="B884" s="21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</row>
    <row r="885">
      <c r="A885" s="20"/>
      <c r="B885" s="21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</row>
    <row r="886">
      <c r="A886" s="20"/>
      <c r="B886" s="21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</row>
    <row r="887">
      <c r="A887" s="20"/>
      <c r="B887" s="21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</row>
    <row r="888">
      <c r="A888" s="20"/>
      <c r="B888" s="21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</row>
    <row r="889">
      <c r="A889" s="20"/>
      <c r="B889" s="21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</row>
    <row r="890">
      <c r="A890" s="20"/>
      <c r="B890" s="21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</row>
    <row r="891">
      <c r="A891" s="20"/>
      <c r="B891" s="21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</row>
    <row r="892">
      <c r="A892" s="20"/>
      <c r="B892" s="21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</row>
    <row r="893">
      <c r="A893" s="20"/>
      <c r="B893" s="21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</row>
    <row r="894">
      <c r="A894" s="20"/>
      <c r="B894" s="21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</row>
    <row r="895">
      <c r="A895" s="20"/>
      <c r="B895" s="21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</row>
    <row r="896">
      <c r="A896" s="20"/>
      <c r="B896" s="21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</row>
    <row r="897">
      <c r="A897" s="20"/>
      <c r="B897" s="21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</row>
    <row r="898">
      <c r="A898" s="20"/>
      <c r="B898" s="21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</row>
    <row r="899">
      <c r="A899" s="20"/>
      <c r="B899" s="21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</row>
    <row r="900">
      <c r="A900" s="20"/>
      <c r="B900" s="21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</row>
    <row r="901">
      <c r="A901" s="20"/>
      <c r="B901" s="21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</row>
    <row r="902">
      <c r="A902" s="20"/>
      <c r="B902" s="21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</row>
    <row r="903">
      <c r="A903" s="20"/>
      <c r="B903" s="21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</row>
    <row r="904">
      <c r="A904" s="20"/>
      <c r="B904" s="21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</row>
    <row r="905">
      <c r="A905" s="20"/>
      <c r="B905" s="21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</row>
    <row r="906">
      <c r="A906" s="20"/>
      <c r="B906" s="21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</row>
    <row r="907">
      <c r="A907" s="20"/>
      <c r="B907" s="21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</row>
    <row r="908">
      <c r="A908" s="20"/>
      <c r="B908" s="21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</row>
    <row r="909">
      <c r="A909" s="20"/>
      <c r="B909" s="21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</row>
    <row r="910">
      <c r="A910" s="20"/>
      <c r="B910" s="21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</row>
    <row r="911">
      <c r="A911" s="20"/>
      <c r="B911" s="21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</row>
    <row r="912">
      <c r="A912" s="20"/>
      <c r="B912" s="21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</row>
    <row r="913">
      <c r="A913" s="20"/>
      <c r="B913" s="21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</row>
    <row r="914">
      <c r="A914" s="20"/>
      <c r="B914" s="21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</row>
    <row r="915">
      <c r="A915" s="20"/>
      <c r="B915" s="21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</row>
    <row r="916">
      <c r="A916" s="20"/>
      <c r="B916" s="21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</row>
    <row r="917">
      <c r="A917" s="20"/>
      <c r="B917" s="21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</row>
    <row r="918">
      <c r="A918" s="20"/>
      <c r="B918" s="21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</row>
    <row r="919">
      <c r="A919" s="20"/>
      <c r="B919" s="21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</row>
    <row r="920">
      <c r="A920" s="20"/>
      <c r="B920" s="21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</row>
    <row r="921">
      <c r="A921" s="20"/>
      <c r="B921" s="21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</row>
    <row r="922">
      <c r="A922" s="20"/>
      <c r="B922" s="21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</row>
    <row r="923">
      <c r="A923" s="20"/>
      <c r="B923" s="21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</row>
    <row r="924">
      <c r="A924" s="20"/>
      <c r="B924" s="21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</row>
    <row r="925">
      <c r="A925" s="20"/>
      <c r="B925" s="21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</row>
    <row r="926">
      <c r="A926" s="20"/>
      <c r="B926" s="21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</row>
    <row r="927">
      <c r="A927" s="20"/>
      <c r="B927" s="21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</row>
    <row r="928">
      <c r="A928" s="20"/>
      <c r="B928" s="21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</row>
    <row r="929">
      <c r="A929" s="20"/>
      <c r="B929" s="21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</row>
    <row r="930">
      <c r="A930" s="20"/>
      <c r="B930" s="21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</row>
    <row r="931">
      <c r="A931" s="20"/>
      <c r="B931" s="21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</row>
    <row r="932">
      <c r="A932" s="20"/>
      <c r="B932" s="21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</row>
    <row r="933">
      <c r="A933" s="20"/>
      <c r="B933" s="21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</row>
    <row r="934">
      <c r="A934" s="20"/>
      <c r="B934" s="21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</row>
    <row r="935">
      <c r="A935" s="20"/>
      <c r="B935" s="21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</row>
    <row r="936">
      <c r="A936" s="20"/>
      <c r="B936" s="21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</row>
    <row r="937">
      <c r="A937" s="20"/>
      <c r="B937" s="21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</row>
    <row r="938">
      <c r="A938" s="20"/>
      <c r="B938" s="21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</row>
    <row r="939">
      <c r="A939" s="20"/>
      <c r="B939" s="21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</row>
    <row r="940">
      <c r="A940" s="20"/>
      <c r="B940" s="21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</row>
    <row r="941">
      <c r="A941" s="20"/>
      <c r="B941" s="21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</row>
    <row r="942">
      <c r="A942" s="20"/>
      <c r="B942" s="21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</row>
    <row r="943">
      <c r="A943" s="20"/>
      <c r="B943" s="21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</row>
    <row r="944">
      <c r="A944" s="20"/>
      <c r="B944" s="21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</row>
    <row r="945">
      <c r="A945" s="20"/>
      <c r="B945" s="21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</row>
    <row r="946">
      <c r="A946" s="20"/>
      <c r="B946" s="21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</row>
    <row r="947">
      <c r="A947" s="20"/>
      <c r="B947" s="21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</row>
    <row r="948">
      <c r="A948" s="20"/>
      <c r="B948" s="21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</row>
    <row r="949">
      <c r="A949" s="20"/>
      <c r="B949" s="21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</row>
    <row r="950">
      <c r="A950" s="20"/>
      <c r="B950" s="21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</row>
    <row r="951">
      <c r="A951" s="20"/>
      <c r="B951" s="21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</row>
    <row r="952">
      <c r="A952" s="20"/>
      <c r="B952" s="21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</row>
    <row r="953">
      <c r="A953" s="20"/>
      <c r="B953" s="21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</row>
    <row r="954">
      <c r="A954" s="20"/>
      <c r="B954" s="21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</row>
    <row r="955">
      <c r="A955" s="20"/>
      <c r="B955" s="21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</row>
    <row r="956">
      <c r="A956" s="20"/>
      <c r="B956" s="21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</row>
    <row r="957">
      <c r="A957" s="20"/>
      <c r="B957" s="21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</row>
    <row r="958">
      <c r="A958" s="20"/>
      <c r="B958" s="21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</row>
    <row r="959">
      <c r="A959" s="20"/>
      <c r="B959" s="21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</row>
    <row r="960">
      <c r="A960" s="20"/>
      <c r="B960" s="21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</row>
    <row r="961">
      <c r="A961" s="20"/>
      <c r="B961" s="21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</row>
    <row r="962">
      <c r="A962" s="20"/>
      <c r="B962" s="21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</row>
    <row r="963">
      <c r="A963" s="20"/>
      <c r="B963" s="21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</row>
    <row r="964">
      <c r="A964" s="20"/>
      <c r="B964" s="21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</row>
    <row r="965">
      <c r="A965" s="20"/>
      <c r="B965" s="21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</row>
    <row r="966">
      <c r="A966" s="20"/>
      <c r="B966" s="21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</row>
    <row r="967">
      <c r="A967" s="20"/>
      <c r="B967" s="21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</row>
    <row r="968">
      <c r="A968" s="20"/>
      <c r="B968" s="21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</row>
    <row r="969">
      <c r="A969" s="20"/>
      <c r="B969" s="21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</row>
    <row r="970">
      <c r="A970" s="20"/>
      <c r="B970" s="21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</row>
    <row r="971">
      <c r="A971" s="20"/>
      <c r="B971" s="21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</row>
    <row r="972">
      <c r="A972" s="20"/>
      <c r="B972" s="21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</row>
    <row r="973">
      <c r="A973" s="20"/>
      <c r="B973" s="21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</row>
    <row r="974">
      <c r="A974" s="20"/>
      <c r="B974" s="21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</row>
    <row r="975">
      <c r="A975" s="20"/>
      <c r="B975" s="21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</row>
    <row r="976">
      <c r="A976" s="20"/>
      <c r="B976" s="21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</row>
    <row r="977">
      <c r="A977" s="20"/>
      <c r="B977" s="21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</row>
    <row r="978">
      <c r="A978" s="20"/>
      <c r="B978" s="21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</row>
    <row r="979">
      <c r="A979" s="20"/>
      <c r="B979" s="21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</row>
    <row r="980">
      <c r="A980" s="20"/>
      <c r="B980" s="21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</row>
    <row r="981">
      <c r="A981" s="20"/>
      <c r="B981" s="21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</row>
    <row r="982">
      <c r="A982" s="20"/>
      <c r="B982" s="21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</row>
    <row r="983">
      <c r="A983" s="20"/>
      <c r="B983" s="21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</row>
    <row r="984">
      <c r="A984" s="20"/>
      <c r="B984" s="21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</row>
    <row r="985">
      <c r="A985" s="20"/>
      <c r="B985" s="21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</row>
    <row r="986">
      <c r="A986" s="20"/>
      <c r="B986" s="21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</row>
    <row r="987">
      <c r="A987" s="20"/>
      <c r="B987" s="21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</row>
    <row r="988">
      <c r="A988" s="20"/>
      <c r="B988" s="21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</row>
    <row r="989">
      <c r="A989" s="20"/>
      <c r="B989" s="21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</row>
    <row r="990">
      <c r="A990" s="20"/>
      <c r="B990" s="21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</row>
    <row r="991">
      <c r="A991" s="20"/>
      <c r="B991" s="21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</row>
    <row r="992">
      <c r="A992" s="20"/>
      <c r="B992" s="21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</row>
    <row r="993">
      <c r="A993" s="20"/>
      <c r="B993" s="21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</row>
    <row r="994">
      <c r="A994" s="20"/>
      <c r="B994" s="21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</row>
    <row r="995">
      <c r="A995" s="20"/>
      <c r="B995" s="21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</row>
    <row r="996">
      <c r="A996" s="20"/>
      <c r="B996" s="21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</row>
    <row r="997">
      <c r="A997" s="20"/>
      <c r="B997" s="21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</row>
    <row r="998">
      <c r="A998" s="20"/>
      <c r="B998" s="21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</row>
    <row r="999">
      <c r="A999" s="20"/>
      <c r="B999" s="21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</row>
    <row r="1000">
      <c r="A1000" s="20"/>
      <c r="B1000" s="21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</row>
  </sheetData>
  <mergeCells count="9">
    <mergeCell ref="A69:A76"/>
    <mergeCell ref="A79:A86"/>
    <mergeCell ref="A2:A9"/>
    <mergeCell ref="A11:A18"/>
    <mergeCell ref="A20:A27"/>
    <mergeCell ref="A29:A36"/>
    <mergeCell ref="A39:A46"/>
    <mergeCell ref="A49:A56"/>
    <mergeCell ref="A59:A66"/>
  </mergeCells>
  <drawing r:id="rId1"/>
</worksheet>
</file>